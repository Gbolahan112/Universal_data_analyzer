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3b2383f3db77ad/Documents/"/>
    </mc:Choice>
  </mc:AlternateContent>
  <xr:revisionPtr revIDLastSave="2" documentId="8_{DABD31ED-22A0-42E4-82C1-22503F9F470A}" xr6:coauthVersionLast="47" xr6:coauthVersionMax="47" xr10:uidLastSave="{C1815D21-3C8E-44D2-B075-4AAEB33AE522}"/>
  <bookViews>
    <workbookView xWindow="-108" yWindow="-108" windowWidth="23256" windowHeight="13896" xr2:uid="{50C35AD0-32CE-4725-A62F-FB1930052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44" i="1" l="1"/>
  <c r="U1144" i="1"/>
  <c r="T1144" i="1"/>
  <c r="S1144" i="1"/>
  <c r="R1144" i="1"/>
  <c r="Q1144" i="1"/>
  <c r="P1144" i="1"/>
  <c r="V1143" i="1"/>
  <c r="U1143" i="1"/>
  <c r="T1143" i="1"/>
  <c r="S1143" i="1"/>
  <c r="R1143" i="1"/>
  <c r="Q1143" i="1"/>
  <c r="P1143" i="1"/>
  <c r="V1142" i="1"/>
  <c r="U1142" i="1"/>
  <c r="T1142" i="1"/>
  <c r="S1142" i="1"/>
  <c r="R1142" i="1"/>
  <c r="Q1142" i="1"/>
  <c r="P1142" i="1"/>
  <c r="V1141" i="1"/>
  <c r="U1141" i="1"/>
  <c r="T1141" i="1"/>
  <c r="S1141" i="1"/>
  <c r="R1141" i="1"/>
  <c r="Q1141" i="1"/>
  <c r="P1141" i="1"/>
  <c r="V1140" i="1"/>
  <c r="U1140" i="1"/>
  <c r="T1140" i="1"/>
  <c r="S1140" i="1"/>
  <c r="R1140" i="1"/>
  <c r="Q1140" i="1"/>
  <c r="P1140" i="1"/>
  <c r="V1139" i="1"/>
  <c r="U1139" i="1"/>
  <c r="T1139" i="1"/>
  <c r="S1139" i="1"/>
  <c r="R1139" i="1"/>
  <c r="Q1139" i="1"/>
  <c r="P1139" i="1"/>
  <c r="V1138" i="1"/>
  <c r="U1138" i="1"/>
  <c r="T1138" i="1"/>
  <c r="S1138" i="1"/>
  <c r="R1138" i="1"/>
  <c r="Q1138" i="1"/>
  <c r="P1138" i="1"/>
  <c r="V1137" i="1"/>
  <c r="U1137" i="1"/>
  <c r="T1137" i="1"/>
  <c r="S1137" i="1"/>
  <c r="R1137" i="1"/>
  <c r="Q1137" i="1"/>
  <c r="P1137" i="1"/>
  <c r="V1136" i="1"/>
  <c r="U1136" i="1"/>
  <c r="T1136" i="1"/>
  <c r="S1136" i="1"/>
  <c r="R1136" i="1"/>
  <c r="Q1136" i="1"/>
  <c r="P1136" i="1"/>
  <c r="V1135" i="1"/>
  <c r="U1135" i="1"/>
  <c r="T1135" i="1"/>
  <c r="S1135" i="1"/>
  <c r="R1135" i="1"/>
  <c r="Q1135" i="1"/>
  <c r="P1135" i="1"/>
  <c r="V1134" i="1"/>
  <c r="U1134" i="1"/>
  <c r="T1134" i="1"/>
  <c r="S1134" i="1"/>
  <c r="R1134" i="1"/>
  <c r="Q1134" i="1"/>
  <c r="P1134" i="1"/>
  <c r="V1133" i="1"/>
  <c r="U1133" i="1"/>
  <c r="T1133" i="1"/>
  <c r="S1133" i="1"/>
  <c r="R1133" i="1"/>
  <c r="Q1133" i="1"/>
  <c r="P1133" i="1"/>
  <c r="V1132" i="1"/>
  <c r="U1132" i="1"/>
  <c r="T1132" i="1"/>
  <c r="S1132" i="1"/>
  <c r="R1132" i="1"/>
  <c r="Q1132" i="1"/>
  <c r="P1132" i="1"/>
  <c r="V1131" i="1"/>
  <c r="U1131" i="1"/>
  <c r="T1131" i="1"/>
  <c r="S1131" i="1"/>
  <c r="R1131" i="1"/>
  <c r="Q1131" i="1"/>
  <c r="P1131" i="1"/>
  <c r="V1130" i="1"/>
  <c r="U1130" i="1"/>
  <c r="T1130" i="1"/>
  <c r="S1130" i="1"/>
  <c r="R1130" i="1"/>
  <c r="Q1130" i="1"/>
  <c r="P1130" i="1"/>
  <c r="V1129" i="1"/>
  <c r="U1129" i="1"/>
  <c r="T1129" i="1"/>
  <c r="S1129" i="1"/>
  <c r="R1129" i="1"/>
  <c r="Q1129" i="1"/>
  <c r="P1129" i="1"/>
  <c r="V1128" i="1"/>
  <c r="U1128" i="1"/>
  <c r="T1128" i="1"/>
  <c r="S1128" i="1"/>
  <c r="R1128" i="1"/>
  <c r="Q1128" i="1"/>
  <c r="P1128" i="1"/>
  <c r="V1127" i="1"/>
  <c r="U1127" i="1"/>
  <c r="T1127" i="1"/>
  <c r="S1127" i="1"/>
  <c r="R1127" i="1"/>
  <c r="Q1127" i="1"/>
  <c r="P1127" i="1"/>
  <c r="V1126" i="1"/>
  <c r="U1126" i="1"/>
  <c r="T1126" i="1"/>
  <c r="S1126" i="1"/>
  <c r="R1126" i="1"/>
  <c r="Q1126" i="1"/>
  <c r="P1126" i="1"/>
  <c r="V1125" i="1"/>
  <c r="U1125" i="1"/>
  <c r="T1125" i="1"/>
  <c r="S1125" i="1"/>
  <c r="R1125" i="1"/>
  <c r="Q1125" i="1"/>
  <c r="P1125" i="1"/>
  <c r="V1124" i="1"/>
  <c r="U1124" i="1"/>
  <c r="T1124" i="1"/>
  <c r="S1124" i="1"/>
  <c r="R1124" i="1"/>
  <c r="Q1124" i="1"/>
  <c r="P1124" i="1"/>
  <c r="V1123" i="1"/>
  <c r="U1123" i="1"/>
  <c r="T1123" i="1"/>
  <c r="S1123" i="1"/>
  <c r="R1123" i="1"/>
  <c r="Q1123" i="1"/>
  <c r="P1123" i="1"/>
  <c r="V1122" i="1"/>
  <c r="U1122" i="1"/>
  <c r="T1122" i="1"/>
  <c r="S1122" i="1"/>
  <c r="R1122" i="1"/>
  <c r="Q1122" i="1"/>
  <c r="P1122" i="1"/>
  <c r="V1121" i="1"/>
  <c r="U1121" i="1"/>
  <c r="T1121" i="1"/>
  <c r="S1121" i="1"/>
  <c r="R1121" i="1"/>
  <c r="Q1121" i="1"/>
  <c r="P1121" i="1"/>
  <c r="V1120" i="1"/>
  <c r="U1120" i="1"/>
  <c r="T1120" i="1"/>
  <c r="S1120" i="1"/>
  <c r="R1120" i="1"/>
  <c r="Q1120" i="1"/>
  <c r="P1120" i="1"/>
  <c r="V1119" i="1"/>
  <c r="U1119" i="1"/>
  <c r="T1119" i="1"/>
  <c r="S1119" i="1"/>
  <c r="R1119" i="1"/>
  <c r="Q1119" i="1"/>
  <c r="P1119" i="1"/>
  <c r="V1118" i="1"/>
  <c r="U1118" i="1"/>
  <c r="T1118" i="1"/>
  <c r="S1118" i="1"/>
  <c r="R1118" i="1"/>
  <c r="Q1118" i="1"/>
  <c r="P1118" i="1"/>
  <c r="V1117" i="1"/>
  <c r="U1117" i="1"/>
  <c r="T1117" i="1"/>
  <c r="S1117" i="1"/>
  <c r="R1117" i="1"/>
  <c r="Q1117" i="1"/>
  <c r="P1117" i="1"/>
  <c r="V1116" i="1"/>
  <c r="U1116" i="1"/>
  <c r="T1116" i="1"/>
  <c r="S1116" i="1"/>
  <c r="R1116" i="1"/>
  <c r="Q1116" i="1"/>
  <c r="P1116" i="1"/>
  <c r="V1115" i="1"/>
  <c r="U1115" i="1"/>
  <c r="T1115" i="1"/>
  <c r="S1115" i="1"/>
  <c r="R1115" i="1"/>
  <c r="Q1115" i="1"/>
  <c r="P1115" i="1"/>
  <c r="V1114" i="1"/>
  <c r="U1114" i="1"/>
  <c r="T1114" i="1"/>
  <c r="S1114" i="1"/>
  <c r="R1114" i="1"/>
  <c r="Q1114" i="1"/>
  <c r="P1114" i="1"/>
  <c r="V1113" i="1"/>
  <c r="U1113" i="1"/>
  <c r="T1113" i="1"/>
  <c r="S1113" i="1"/>
  <c r="R1113" i="1"/>
  <c r="Q1113" i="1"/>
  <c r="P1113" i="1"/>
  <c r="V1112" i="1"/>
  <c r="U1112" i="1"/>
  <c r="T1112" i="1"/>
  <c r="S1112" i="1"/>
  <c r="R1112" i="1"/>
  <c r="Q1112" i="1"/>
  <c r="P1112" i="1"/>
  <c r="V1111" i="1"/>
  <c r="U1111" i="1"/>
  <c r="T1111" i="1"/>
  <c r="S1111" i="1"/>
  <c r="R1111" i="1"/>
  <c r="Q1111" i="1"/>
  <c r="P1111" i="1"/>
  <c r="V1110" i="1"/>
  <c r="U1110" i="1"/>
  <c r="T1110" i="1"/>
  <c r="S1110" i="1"/>
  <c r="R1110" i="1"/>
  <c r="Q1110" i="1"/>
  <c r="P1110" i="1"/>
  <c r="V1109" i="1"/>
  <c r="U1109" i="1"/>
  <c r="T1109" i="1"/>
  <c r="S1109" i="1"/>
  <c r="R1109" i="1"/>
  <c r="Q1109" i="1"/>
  <c r="P1109" i="1"/>
  <c r="V1108" i="1"/>
  <c r="U1108" i="1"/>
  <c r="T1108" i="1"/>
  <c r="S1108" i="1"/>
  <c r="R1108" i="1"/>
  <c r="Q1108" i="1"/>
  <c r="P1108" i="1"/>
  <c r="V1107" i="1"/>
  <c r="U1107" i="1"/>
  <c r="T1107" i="1"/>
  <c r="S1107" i="1"/>
  <c r="R1107" i="1"/>
  <c r="Q1107" i="1"/>
  <c r="P1107" i="1"/>
  <c r="V1106" i="1"/>
  <c r="U1106" i="1"/>
  <c r="T1106" i="1"/>
  <c r="S1106" i="1"/>
  <c r="R1106" i="1"/>
  <c r="Q1106" i="1"/>
  <c r="P1106" i="1"/>
  <c r="V1105" i="1"/>
  <c r="U1105" i="1"/>
  <c r="T1105" i="1"/>
  <c r="S1105" i="1"/>
  <c r="R1105" i="1"/>
  <c r="Q1105" i="1"/>
  <c r="P1105" i="1"/>
  <c r="V1104" i="1"/>
  <c r="U1104" i="1"/>
  <c r="T1104" i="1"/>
  <c r="S1104" i="1"/>
  <c r="R1104" i="1"/>
  <c r="Q1104" i="1"/>
  <c r="P1104" i="1"/>
  <c r="V1103" i="1"/>
  <c r="U1103" i="1"/>
  <c r="T1103" i="1"/>
  <c r="S1103" i="1"/>
  <c r="R1103" i="1"/>
  <c r="Q1103" i="1"/>
  <c r="P1103" i="1"/>
  <c r="V1102" i="1"/>
  <c r="U1102" i="1"/>
  <c r="T1102" i="1"/>
  <c r="S1102" i="1"/>
  <c r="R1102" i="1"/>
  <c r="Q1102" i="1"/>
  <c r="P1102" i="1"/>
  <c r="V1101" i="1"/>
  <c r="U1101" i="1"/>
  <c r="T1101" i="1"/>
  <c r="S1101" i="1"/>
  <c r="R1101" i="1"/>
  <c r="Q1101" i="1"/>
  <c r="P1101" i="1"/>
  <c r="V1100" i="1"/>
  <c r="U1100" i="1"/>
  <c r="T1100" i="1"/>
  <c r="S1100" i="1"/>
  <c r="R1100" i="1"/>
  <c r="Q1100" i="1"/>
  <c r="P1100" i="1"/>
  <c r="V1099" i="1"/>
  <c r="U1099" i="1"/>
  <c r="T1099" i="1"/>
  <c r="S1099" i="1"/>
  <c r="R1099" i="1"/>
  <c r="Q1099" i="1"/>
  <c r="P1099" i="1"/>
  <c r="V1098" i="1"/>
  <c r="U1098" i="1"/>
  <c r="T1098" i="1"/>
  <c r="S1098" i="1"/>
  <c r="R1098" i="1"/>
  <c r="Q1098" i="1"/>
  <c r="P1098" i="1"/>
  <c r="V1097" i="1"/>
  <c r="U1097" i="1"/>
  <c r="T1097" i="1"/>
  <c r="S1097" i="1"/>
  <c r="R1097" i="1"/>
  <c r="Q1097" i="1"/>
  <c r="P1097" i="1"/>
  <c r="V1096" i="1"/>
  <c r="U1096" i="1"/>
  <c r="T1096" i="1"/>
  <c r="S1096" i="1"/>
  <c r="R1096" i="1"/>
  <c r="Q1096" i="1"/>
  <c r="P1096" i="1"/>
  <c r="V1095" i="1"/>
  <c r="U1095" i="1"/>
  <c r="T1095" i="1"/>
  <c r="S1095" i="1"/>
  <c r="R1095" i="1"/>
  <c r="Q1095" i="1"/>
  <c r="P1095" i="1"/>
  <c r="V1094" i="1"/>
  <c r="U1094" i="1"/>
  <c r="T1094" i="1"/>
  <c r="S1094" i="1"/>
  <c r="R1094" i="1"/>
  <c r="Q1094" i="1"/>
  <c r="P1094" i="1"/>
  <c r="V1093" i="1"/>
  <c r="U1093" i="1"/>
  <c r="T1093" i="1"/>
  <c r="S1093" i="1"/>
  <c r="R1093" i="1"/>
  <c r="Q1093" i="1"/>
  <c r="P1093" i="1"/>
  <c r="V1092" i="1"/>
  <c r="U1092" i="1"/>
  <c r="T1092" i="1"/>
  <c r="S1092" i="1"/>
  <c r="R1092" i="1"/>
  <c r="Q1092" i="1"/>
  <c r="P1092" i="1"/>
  <c r="V1091" i="1"/>
  <c r="U1091" i="1"/>
  <c r="T1091" i="1"/>
  <c r="S1091" i="1"/>
  <c r="R1091" i="1"/>
  <c r="Q1091" i="1"/>
  <c r="P1091" i="1"/>
  <c r="V1090" i="1"/>
  <c r="U1090" i="1"/>
  <c r="T1090" i="1"/>
  <c r="S1090" i="1"/>
  <c r="R1090" i="1"/>
  <c r="Q1090" i="1"/>
  <c r="P1090" i="1"/>
  <c r="V1089" i="1"/>
  <c r="U1089" i="1"/>
  <c r="T1089" i="1"/>
  <c r="S1089" i="1"/>
  <c r="R1089" i="1"/>
  <c r="Q1089" i="1"/>
  <c r="P1089" i="1"/>
  <c r="V1088" i="1"/>
  <c r="U1088" i="1"/>
  <c r="T1088" i="1"/>
  <c r="S1088" i="1"/>
  <c r="R1088" i="1"/>
  <c r="Q1088" i="1"/>
  <c r="P1088" i="1"/>
  <c r="V1087" i="1"/>
  <c r="U1087" i="1"/>
  <c r="T1087" i="1"/>
  <c r="S1087" i="1"/>
  <c r="R1087" i="1"/>
  <c r="Q1087" i="1"/>
  <c r="P1087" i="1"/>
  <c r="V1086" i="1"/>
  <c r="U1086" i="1"/>
  <c r="T1086" i="1"/>
  <c r="S1086" i="1"/>
  <c r="R1086" i="1"/>
  <c r="Q1086" i="1"/>
  <c r="P1086" i="1"/>
  <c r="V1085" i="1"/>
  <c r="U1085" i="1"/>
  <c r="T1085" i="1"/>
  <c r="S1085" i="1"/>
  <c r="R1085" i="1"/>
  <c r="Q1085" i="1"/>
  <c r="P1085" i="1"/>
  <c r="V1084" i="1"/>
  <c r="U1084" i="1"/>
  <c r="T1084" i="1"/>
  <c r="S1084" i="1"/>
  <c r="R1084" i="1"/>
  <c r="Q1084" i="1"/>
  <c r="P1084" i="1"/>
  <c r="V1083" i="1"/>
  <c r="U1083" i="1"/>
  <c r="T1083" i="1"/>
  <c r="S1083" i="1"/>
  <c r="R1083" i="1"/>
  <c r="Q1083" i="1"/>
  <c r="P1083" i="1"/>
  <c r="V1082" i="1"/>
  <c r="U1082" i="1"/>
  <c r="T1082" i="1"/>
  <c r="S1082" i="1"/>
  <c r="R1082" i="1"/>
  <c r="Q1082" i="1"/>
  <c r="P1082" i="1"/>
  <c r="V1081" i="1"/>
  <c r="U1081" i="1"/>
  <c r="T1081" i="1"/>
  <c r="S1081" i="1"/>
  <c r="R1081" i="1"/>
  <c r="Q1081" i="1"/>
  <c r="P1081" i="1"/>
  <c r="V1080" i="1"/>
  <c r="U1080" i="1"/>
  <c r="T1080" i="1"/>
  <c r="S1080" i="1"/>
  <c r="R1080" i="1"/>
  <c r="Q1080" i="1"/>
  <c r="P1080" i="1"/>
  <c r="V1079" i="1"/>
  <c r="U1079" i="1"/>
  <c r="T1079" i="1"/>
  <c r="S1079" i="1"/>
  <c r="R1079" i="1"/>
  <c r="Q1079" i="1"/>
  <c r="P1079" i="1"/>
  <c r="V1078" i="1"/>
  <c r="U1078" i="1"/>
  <c r="T1078" i="1"/>
  <c r="S1078" i="1"/>
  <c r="R1078" i="1"/>
  <c r="Q1078" i="1"/>
  <c r="P1078" i="1"/>
  <c r="V1077" i="1"/>
  <c r="U1077" i="1"/>
  <c r="T1077" i="1"/>
  <c r="S1077" i="1"/>
  <c r="R1077" i="1"/>
  <c r="Q1077" i="1"/>
  <c r="P1077" i="1"/>
  <c r="V1076" i="1"/>
  <c r="U1076" i="1"/>
  <c r="T1076" i="1"/>
  <c r="S1076" i="1"/>
  <c r="R1076" i="1"/>
  <c r="Q1076" i="1"/>
  <c r="P1076" i="1"/>
  <c r="V1075" i="1"/>
  <c r="U1075" i="1"/>
  <c r="T1075" i="1"/>
  <c r="S1075" i="1"/>
  <c r="R1075" i="1"/>
  <c r="Q1075" i="1"/>
  <c r="P1075" i="1"/>
  <c r="V1074" i="1"/>
  <c r="U1074" i="1"/>
  <c r="T1074" i="1"/>
  <c r="S1074" i="1"/>
  <c r="R1074" i="1"/>
  <c r="Q1074" i="1"/>
  <c r="P1074" i="1"/>
  <c r="V1073" i="1"/>
  <c r="U1073" i="1"/>
  <c r="T1073" i="1"/>
  <c r="S1073" i="1"/>
  <c r="R1073" i="1"/>
  <c r="Q1073" i="1"/>
  <c r="P1073" i="1"/>
  <c r="V1072" i="1"/>
  <c r="U1072" i="1"/>
  <c r="T1072" i="1"/>
  <c r="S1072" i="1"/>
  <c r="R1072" i="1"/>
  <c r="Q1072" i="1"/>
  <c r="P1072" i="1"/>
  <c r="V1071" i="1"/>
  <c r="U1071" i="1"/>
  <c r="T1071" i="1"/>
  <c r="S1071" i="1"/>
  <c r="R1071" i="1"/>
  <c r="Q1071" i="1"/>
  <c r="P1071" i="1"/>
  <c r="V1070" i="1"/>
  <c r="U1070" i="1"/>
  <c r="T1070" i="1"/>
  <c r="S1070" i="1"/>
  <c r="R1070" i="1"/>
  <c r="Q1070" i="1"/>
  <c r="P1070" i="1"/>
  <c r="V1069" i="1"/>
  <c r="U1069" i="1"/>
  <c r="T1069" i="1"/>
  <c r="S1069" i="1"/>
  <c r="R1069" i="1"/>
  <c r="Q1069" i="1"/>
  <c r="P1069" i="1"/>
  <c r="V1068" i="1"/>
  <c r="U1068" i="1"/>
  <c r="T1068" i="1"/>
  <c r="S1068" i="1"/>
  <c r="R1068" i="1"/>
  <c r="Q1068" i="1"/>
  <c r="P1068" i="1"/>
  <c r="V1067" i="1"/>
  <c r="U1067" i="1"/>
  <c r="T1067" i="1"/>
  <c r="S1067" i="1"/>
  <c r="R1067" i="1"/>
  <c r="Q1067" i="1"/>
  <c r="P1067" i="1"/>
  <c r="V1066" i="1"/>
  <c r="U1066" i="1"/>
  <c r="T1066" i="1"/>
  <c r="S1066" i="1"/>
  <c r="R1066" i="1"/>
  <c r="Q1066" i="1"/>
  <c r="P1066" i="1"/>
  <c r="V1065" i="1"/>
  <c r="U1065" i="1"/>
  <c r="T1065" i="1"/>
  <c r="S1065" i="1"/>
  <c r="R1065" i="1"/>
  <c r="Q1065" i="1"/>
  <c r="P1065" i="1"/>
  <c r="V1064" i="1"/>
  <c r="U1064" i="1"/>
  <c r="T1064" i="1"/>
  <c r="S1064" i="1"/>
  <c r="R1064" i="1"/>
  <c r="Q1064" i="1"/>
  <c r="P1064" i="1"/>
  <c r="V1063" i="1"/>
  <c r="U1063" i="1"/>
  <c r="T1063" i="1"/>
  <c r="S1063" i="1"/>
  <c r="R1063" i="1"/>
  <c r="Q1063" i="1"/>
  <c r="P1063" i="1"/>
  <c r="V1062" i="1"/>
  <c r="U1062" i="1"/>
  <c r="T1062" i="1"/>
  <c r="S1062" i="1"/>
  <c r="R1062" i="1"/>
  <c r="Q1062" i="1"/>
  <c r="P1062" i="1"/>
  <c r="V1061" i="1"/>
  <c r="U1061" i="1"/>
  <c r="T1061" i="1"/>
  <c r="S1061" i="1"/>
  <c r="R1061" i="1"/>
  <c r="Q1061" i="1"/>
  <c r="P1061" i="1"/>
  <c r="V1060" i="1"/>
  <c r="U1060" i="1"/>
  <c r="T1060" i="1"/>
  <c r="S1060" i="1"/>
  <c r="R1060" i="1"/>
  <c r="Q1060" i="1"/>
  <c r="P1060" i="1"/>
  <c r="V1059" i="1"/>
  <c r="U1059" i="1"/>
  <c r="T1059" i="1"/>
  <c r="S1059" i="1"/>
  <c r="R1059" i="1"/>
  <c r="Q1059" i="1"/>
  <c r="P1059" i="1"/>
  <c r="V1058" i="1"/>
  <c r="U1058" i="1"/>
  <c r="T1058" i="1"/>
  <c r="S1058" i="1"/>
  <c r="R1058" i="1"/>
  <c r="Q1058" i="1"/>
  <c r="P1058" i="1"/>
  <c r="V1057" i="1"/>
  <c r="U1057" i="1"/>
  <c r="T1057" i="1"/>
  <c r="S1057" i="1"/>
  <c r="R1057" i="1"/>
  <c r="Q1057" i="1"/>
  <c r="P1057" i="1"/>
  <c r="V1056" i="1"/>
  <c r="U1056" i="1"/>
  <c r="T1056" i="1"/>
  <c r="S1056" i="1"/>
  <c r="R1056" i="1"/>
  <c r="Q1056" i="1"/>
  <c r="P1056" i="1"/>
  <c r="V1055" i="1"/>
  <c r="U1055" i="1"/>
  <c r="T1055" i="1"/>
  <c r="S1055" i="1"/>
  <c r="R1055" i="1"/>
  <c r="Q1055" i="1"/>
  <c r="P1055" i="1"/>
  <c r="V1054" i="1"/>
  <c r="U1054" i="1"/>
  <c r="T1054" i="1"/>
  <c r="S1054" i="1"/>
  <c r="R1054" i="1"/>
  <c r="Q1054" i="1"/>
  <c r="P1054" i="1"/>
  <c r="V1053" i="1"/>
  <c r="U1053" i="1"/>
  <c r="T1053" i="1"/>
  <c r="S1053" i="1"/>
  <c r="R1053" i="1"/>
  <c r="Q1053" i="1"/>
  <c r="P1053" i="1"/>
  <c r="V1052" i="1"/>
  <c r="U1052" i="1"/>
  <c r="T1052" i="1"/>
  <c r="S1052" i="1"/>
  <c r="R1052" i="1"/>
  <c r="Q1052" i="1"/>
  <c r="P1052" i="1"/>
  <c r="V1051" i="1"/>
  <c r="U1051" i="1"/>
  <c r="T1051" i="1"/>
  <c r="S1051" i="1"/>
  <c r="R1051" i="1"/>
  <c r="Q1051" i="1"/>
  <c r="P1051" i="1"/>
  <c r="V1050" i="1"/>
  <c r="U1050" i="1"/>
  <c r="T1050" i="1"/>
  <c r="S1050" i="1"/>
  <c r="R1050" i="1"/>
  <c r="Q1050" i="1"/>
  <c r="P1050" i="1"/>
  <c r="V1049" i="1"/>
  <c r="U1049" i="1"/>
  <c r="T1049" i="1"/>
  <c r="S1049" i="1"/>
  <c r="R1049" i="1"/>
  <c r="Q1049" i="1"/>
  <c r="P1049" i="1"/>
  <c r="V1048" i="1"/>
  <c r="U1048" i="1"/>
  <c r="T1048" i="1"/>
  <c r="S1048" i="1"/>
  <c r="R1048" i="1"/>
  <c r="Q1048" i="1"/>
  <c r="P1048" i="1"/>
  <c r="V1047" i="1"/>
  <c r="U1047" i="1"/>
  <c r="T1047" i="1"/>
  <c r="S1047" i="1"/>
  <c r="R1047" i="1"/>
  <c r="Q1047" i="1"/>
  <c r="P1047" i="1"/>
  <c r="V1046" i="1"/>
  <c r="U1046" i="1"/>
  <c r="T1046" i="1"/>
  <c r="S1046" i="1"/>
  <c r="R1046" i="1"/>
  <c r="Q1046" i="1"/>
  <c r="P1046" i="1"/>
  <c r="V1045" i="1"/>
  <c r="U1045" i="1"/>
  <c r="T1045" i="1"/>
  <c r="S1045" i="1"/>
  <c r="R1045" i="1"/>
  <c r="Q1045" i="1"/>
  <c r="P1045" i="1"/>
  <c r="V1044" i="1"/>
  <c r="U1044" i="1"/>
  <c r="T1044" i="1"/>
  <c r="S1044" i="1"/>
  <c r="R1044" i="1"/>
  <c r="Q1044" i="1"/>
  <c r="P1044" i="1"/>
  <c r="V1043" i="1"/>
  <c r="U1043" i="1"/>
  <c r="T1043" i="1"/>
  <c r="S1043" i="1"/>
  <c r="R1043" i="1"/>
  <c r="Q1043" i="1"/>
  <c r="P1043" i="1"/>
  <c r="V1042" i="1"/>
  <c r="U1042" i="1"/>
  <c r="T1042" i="1"/>
  <c r="S1042" i="1"/>
  <c r="R1042" i="1"/>
  <c r="Q1042" i="1"/>
  <c r="P1042" i="1"/>
  <c r="V1041" i="1"/>
  <c r="U1041" i="1"/>
  <c r="T1041" i="1"/>
  <c r="S1041" i="1"/>
  <c r="R1041" i="1"/>
  <c r="Q1041" i="1"/>
  <c r="P1041" i="1"/>
  <c r="V1040" i="1"/>
  <c r="U1040" i="1"/>
  <c r="T1040" i="1"/>
  <c r="S1040" i="1"/>
  <c r="R1040" i="1"/>
  <c r="Q1040" i="1"/>
  <c r="P1040" i="1"/>
  <c r="V1039" i="1"/>
  <c r="U1039" i="1"/>
  <c r="T1039" i="1"/>
  <c r="S1039" i="1"/>
  <c r="R1039" i="1"/>
  <c r="Q1039" i="1"/>
  <c r="P1039" i="1"/>
  <c r="V1038" i="1"/>
  <c r="U1038" i="1"/>
  <c r="T1038" i="1"/>
  <c r="S1038" i="1"/>
  <c r="R1038" i="1"/>
  <c r="Q1038" i="1"/>
  <c r="P1038" i="1"/>
  <c r="V1037" i="1"/>
  <c r="U1037" i="1"/>
  <c r="T1037" i="1"/>
  <c r="S1037" i="1"/>
  <c r="R1037" i="1"/>
  <c r="Q1037" i="1"/>
  <c r="P1037" i="1"/>
  <c r="V1036" i="1"/>
  <c r="U1036" i="1"/>
  <c r="T1036" i="1"/>
  <c r="S1036" i="1"/>
  <c r="R1036" i="1"/>
  <c r="Q1036" i="1"/>
  <c r="P1036" i="1"/>
  <c r="V1035" i="1"/>
  <c r="U1035" i="1"/>
  <c r="T1035" i="1"/>
  <c r="S1035" i="1"/>
  <c r="R1035" i="1"/>
  <c r="Q1035" i="1"/>
  <c r="P1035" i="1"/>
  <c r="V1034" i="1"/>
  <c r="U1034" i="1"/>
  <c r="T1034" i="1"/>
  <c r="S1034" i="1"/>
  <c r="R1034" i="1"/>
  <c r="Q1034" i="1"/>
  <c r="P1034" i="1"/>
  <c r="V1033" i="1"/>
  <c r="U1033" i="1"/>
  <c r="T1033" i="1"/>
  <c r="S1033" i="1"/>
  <c r="R1033" i="1"/>
  <c r="Q1033" i="1"/>
  <c r="P1033" i="1"/>
  <c r="V1032" i="1"/>
  <c r="U1032" i="1"/>
  <c r="T1032" i="1"/>
  <c r="S1032" i="1"/>
  <c r="R1032" i="1"/>
  <c r="Q1032" i="1"/>
  <c r="P1032" i="1"/>
  <c r="V1031" i="1"/>
  <c r="U1031" i="1"/>
  <c r="T1031" i="1"/>
  <c r="S1031" i="1"/>
  <c r="R1031" i="1"/>
  <c r="Q1031" i="1"/>
  <c r="P1031" i="1"/>
  <c r="V1030" i="1"/>
  <c r="U1030" i="1"/>
  <c r="T1030" i="1"/>
  <c r="S1030" i="1"/>
  <c r="R1030" i="1"/>
  <c r="Q1030" i="1"/>
  <c r="P1030" i="1"/>
  <c r="V1029" i="1"/>
  <c r="U1029" i="1"/>
  <c r="T1029" i="1"/>
  <c r="S1029" i="1"/>
  <c r="R1029" i="1"/>
  <c r="Q1029" i="1"/>
  <c r="P1029" i="1"/>
  <c r="V1028" i="1"/>
  <c r="U1028" i="1"/>
  <c r="T1028" i="1"/>
  <c r="S1028" i="1"/>
  <c r="R1028" i="1"/>
  <c r="Q1028" i="1"/>
  <c r="P1028" i="1"/>
  <c r="V1027" i="1"/>
  <c r="U1027" i="1"/>
  <c r="T1027" i="1"/>
  <c r="S1027" i="1"/>
  <c r="R1027" i="1"/>
  <c r="Q1027" i="1"/>
  <c r="P1027" i="1"/>
  <c r="V1026" i="1"/>
  <c r="U1026" i="1"/>
  <c r="T1026" i="1"/>
  <c r="S1026" i="1"/>
  <c r="R1026" i="1"/>
  <c r="Q1026" i="1"/>
  <c r="P1026" i="1"/>
  <c r="V1025" i="1"/>
  <c r="U1025" i="1"/>
  <c r="T1025" i="1"/>
  <c r="S1025" i="1"/>
  <c r="R1025" i="1"/>
  <c r="Q1025" i="1"/>
  <c r="P1025" i="1"/>
  <c r="V1024" i="1"/>
  <c r="U1024" i="1"/>
  <c r="T1024" i="1"/>
  <c r="S1024" i="1"/>
  <c r="R1024" i="1"/>
  <c r="Q1024" i="1"/>
  <c r="P1024" i="1"/>
  <c r="V1023" i="1"/>
  <c r="U1023" i="1"/>
  <c r="T1023" i="1"/>
  <c r="S1023" i="1"/>
  <c r="R1023" i="1"/>
  <c r="Q1023" i="1"/>
  <c r="P1023" i="1"/>
  <c r="V1022" i="1"/>
  <c r="U1022" i="1"/>
  <c r="T1022" i="1"/>
  <c r="S1022" i="1"/>
  <c r="R1022" i="1"/>
  <c r="Q1022" i="1"/>
  <c r="P1022" i="1"/>
  <c r="V1021" i="1"/>
  <c r="U1021" i="1"/>
  <c r="T1021" i="1"/>
  <c r="S1021" i="1"/>
  <c r="R1021" i="1"/>
  <c r="Q1021" i="1"/>
  <c r="P1021" i="1"/>
  <c r="V1020" i="1"/>
  <c r="U1020" i="1"/>
  <c r="T1020" i="1"/>
  <c r="S1020" i="1"/>
  <c r="R1020" i="1"/>
  <c r="Q1020" i="1"/>
  <c r="P1020" i="1"/>
  <c r="V1019" i="1"/>
  <c r="U1019" i="1"/>
  <c r="T1019" i="1"/>
  <c r="S1019" i="1"/>
  <c r="R1019" i="1"/>
  <c r="Q1019" i="1"/>
  <c r="P1019" i="1"/>
  <c r="V1018" i="1"/>
  <c r="U1018" i="1"/>
  <c r="T1018" i="1"/>
  <c r="S1018" i="1"/>
  <c r="R1018" i="1"/>
  <c r="Q1018" i="1"/>
  <c r="P1018" i="1"/>
  <c r="V1017" i="1"/>
  <c r="U1017" i="1"/>
  <c r="T1017" i="1"/>
  <c r="S1017" i="1"/>
  <c r="R1017" i="1"/>
  <c r="Q1017" i="1"/>
  <c r="P1017" i="1"/>
  <c r="V1016" i="1"/>
  <c r="U1016" i="1"/>
  <c r="T1016" i="1"/>
  <c r="S1016" i="1"/>
  <c r="R1016" i="1"/>
  <c r="Q1016" i="1"/>
  <c r="P1016" i="1"/>
  <c r="V1015" i="1"/>
  <c r="U1015" i="1"/>
  <c r="T1015" i="1"/>
  <c r="S1015" i="1"/>
  <c r="R1015" i="1"/>
  <c r="Q1015" i="1"/>
  <c r="P1015" i="1"/>
  <c r="V1014" i="1"/>
  <c r="U1014" i="1"/>
  <c r="T1014" i="1"/>
  <c r="S1014" i="1"/>
  <c r="R1014" i="1"/>
  <c r="Q1014" i="1"/>
  <c r="P1014" i="1"/>
  <c r="V1013" i="1"/>
  <c r="U1013" i="1"/>
  <c r="T1013" i="1"/>
  <c r="S1013" i="1"/>
  <c r="R1013" i="1"/>
  <c r="Q1013" i="1"/>
  <c r="P1013" i="1"/>
  <c r="V1012" i="1"/>
  <c r="U1012" i="1"/>
  <c r="T1012" i="1"/>
  <c r="S1012" i="1"/>
  <c r="R1012" i="1"/>
  <c r="Q1012" i="1"/>
  <c r="P1012" i="1"/>
  <c r="V1011" i="1"/>
  <c r="U1011" i="1"/>
  <c r="T1011" i="1"/>
  <c r="S1011" i="1"/>
  <c r="R1011" i="1"/>
  <c r="Q1011" i="1"/>
  <c r="P1011" i="1"/>
  <c r="V1010" i="1"/>
  <c r="U1010" i="1"/>
  <c r="T1010" i="1"/>
  <c r="S1010" i="1"/>
  <c r="R1010" i="1"/>
  <c r="Q1010" i="1"/>
  <c r="P1010" i="1"/>
  <c r="V1009" i="1"/>
  <c r="U1009" i="1"/>
  <c r="T1009" i="1"/>
  <c r="S1009" i="1"/>
  <c r="R1009" i="1"/>
  <c r="Q1009" i="1"/>
  <c r="P1009" i="1"/>
  <c r="V1008" i="1"/>
  <c r="U1008" i="1"/>
  <c r="T1008" i="1"/>
  <c r="S1008" i="1"/>
  <c r="R1008" i="1"/>
  <c r="Q1008" i="1"/>
  <c r="P1008" i="1"/>
  <c r="V1007" i="1"/>
  <c r="U1007" i="1"/>
  <c r="T1007" i="1"/>
  <c r="S1007" i="1"/>
  <c r="R1007" i="1"/>
  <c r="Q1007" i="1"/>
  <c r="P1007" i="1"/>
  <c r="V1006" i="1"/>
  <c r="U1006" i="1"/>
  <c r="T1006" i="1"/>
  <c r="S1006" i="1"/>
  <c r="R1006" i="1"/>
  <c r="Q1006" i="1"/>
  <c r="P1006" i="1"/>
  <c r="V1005" i="1"/>
  <c r="U1005" i="1"/>
  <c r="T1005" i="1"/>
  <c r="S1005" i="1"/>
  <c r="R1005" i="1"/>
  <c r="Q1005" i="1"/>
  <c r="P1005" i="1"/>
  <c r="V1004" i="1"/>
  <c r="U1004" i="1"/>
  <c r="T1004" i="1"/>
  <c r="S1004" i="1"/>
  <c r="R1004" i="1"/>
  <c r="Q1004" i="1"/>
  <c r="P1004" i="1"/>
  <c r="V1003" i="1"/>
  <c r="U1003" i="1"/>
  <c r="T1003" i="1"/>
  <c r="S1003" i="1"/>
  <c r="R1003" i="1"/>
  <c r="Q1003" i="1"/>
  <c r="P1003" i="1"/>
  <c r="V1002" i="1"/>
  <c r="U1002" i="1"/>
  <c r="T1002" i="1"/>
  <c r="S1002" i="1"/>
  <c r="R1002" i="1"/>
  <c r="Q1002" i="1"/>
  <c r="P1002" i="1"/>
  <c r="V1001" i="1"/>
  <c r="U1001" i="1"/>
  <c r="T1001" i="1"/>
  <c r="S1001" i="1"/>
  <c r="R1001" i="1"/>
  <c r="Q1001" i="1"/>
  <c r="P1001" i="1"/>
  <c r="V1000" i="1"/>
  <c r="U1000" i="1"/>
  <c r="T1000" i="1"/>
  <c r="S1000" i="1"/>
  <c r="R1000" i="1"/>
  <c r="Q1000" i="1"/>
  <c r="P1000" i="1"/>
  <c r="V999" i="1"/>
  <c r="U999" i="1"/>
  <c r="T999" i="1"/>
  <c r="S999" i="1"/>
  <c r="R999" i="1"/>
  <c r="Q999" i="1"/>
  <c r="P999" i="1"/>
  <c r="V998" i="1"/>
  <c r="U998" i="1"/>
  <c r="T998" i="1"/>
  <c r="S998" i="1"/>
  <c r="R998" i="1"/>
  <c r="Q998" i="1"/>
  <c r="P998" i="1"/>
  <c r="V997" i="1"/>
  <c r="U997" i="1"/>
  <c r="T997" i="1"/>
  <c r="S997" i="1"/>
  <c r="R997" i="1"/>
  <c r="Q997" i="1"/>
  <c r="P997" i="1"/>
  <c r="V996" i="1"/>
  <c r="U996" i="1"/>
  <c r="T996" i="1"/>
  <c r="S996" i="1"/>
  <c r="R996" i="1"/>
  <c r="Q996" i="1"/>
  <c r="P996" i="1"/>
  <c r="V995" i="1"/>
  <c r="U995" i="1"/>
  <c r="T995" i="1"/>
  <c r="S995" i="1"/>
  <c r="R995" i="1"/>
  <c r="Q995" i="1"/>
  <c r="P995" i="1"/>
  <c r="V994" i="1"/>
  <c r="U994" i="1"/>
  <c r="T994" i="1"/>
  <c r="S994" i="1"/>
  <c r="R994" i="1"/>
  <c r="Q994" i="1"/>
  <c r="P994" i="1"/>
  <c r="V993" i="1"/>
  <c r="U993" i="1"/>
  <c r="T993" i="1"/>
  <c r="S993" i="1"/>
  <c r="R993" i="1"/>
  <c r="Q993" i="1"/>
  <c r="P993" i="1"/>
  <c r="V992" i="1"/>
  <c r="U992" i="1"/>
  <c r="T992" i="1"/>
  <c r="S992" i="1"/>
  <c r="R992" i="1"/>
  <c r="Q992" i="1"/>
  <c r="P992" i="1"/>
  <c r="V991" i="1"/>
  <c r="U991" i="1"/>
  <c r="T991" i="1"/>
  <c r="S991" i="1"/>
  <c r="R991" i="1"/>
  <c r="Q991" i="1"/>
  <c r="P991" i="1"/>
  <c r="V990" i="1"/>
  <c r="U990" i="1"/>
  <c r="T990" i="1"/>
  <c r="S990" i="1"/>
  <c r="R990" i="1"/>
  <c r="Q990" i="1"/>
  <c r="P990" i="1"/>
  <c r="V989" i="1"/>
  <c r="U989" i="1"/>
  <c r="T989" i="1"/>
  <c r="S989" i="1"/>
  <c r="R989" i="1"/>
  <c r="Q989" i="1"/>
  <c r="P989" i="1"/>
  <c r="V988" i="1"/>
  <c r="U988" i="1"/>
  <c r="T988" i="1"/>
  <c r="S988" i="1"/>
  <c r="R988" i="1"/>
  <c r="Q988" i="1"/>
  <c r="P988" i="1"/>
  <c r="V987" i="1"/>
  <c r="U987" i="1"/>
  <c r="T987" i="1"/>
  <c r="S987" i="1"/>
  <c r="R987" i="1"/>
  <c r="Q987" i="1"/>
  <c r="P987" i="1"/>
  <c r="V986" i="1"/>
  <c r="U986" i="1"/>
  <c r="T986" i="1"/>
  <c r="S986" i="1"/>
  <c r="R986" i="1"/>
  <c r="Q986" i="1"/>
  <c r="P986" i="1"/>
  <c r="V985" i="1"/>
  <c r="U985" i="1"/>
  <c r="T985" i="1"/>
  <c r="S985" i="1"/>
  <c r="R985" i="1"/>
  <c r="Q985" i="1"/>
  <c r="P985" i="1"/>
  <c r="V984" i="1"/>
  <c r="U984" i="1"/>
  <c r="T984" i="1"/>
  <c r="S984" i="1"/>
  <c r="R984" i="1"/>
  <c r="Q984" i="1"/>
  <c r="P984" i="1"/>
  <c r="V983" i="1"/>
  <c r="U983" i="1"/>
  <c r="T983" i="1"/>
  <c r="S983" i="1"/>
  <c r="R983" i="1"/>
  <c r="Q983" i="1"/>
  <c r="P983" i="1"/>
  <c r="V982" i="1"/>
  <c r="U982" i="1"/>
  <c r="T982" i="1"/>
  <c r="S982" i="1"/>
  <c r="R982" i="1"/>
  <c r="Q982" i="1"/>
  <c r="P982" i="1"/>
  <c r="V981" i="1"/>
  <c r="U981" i="1"/>
  <c r="T981" i="1"/>
  <c r="S981" i="1"/>
  <c r="R981" i="1"/>
  <c r="Q981" i="1"/>
  <c r="P981" i="1"/>
  <c r="V980" i="1"/>
  <c r="U980" i="1"/>
  <c r="T980" i="1"/>
  <c r="S980" i="1"/>
  <c r="R980" i="1"/>
  <c r="Q980" i="1"/>
  <c r="P980" i="1"/>
  <c r="V979" i="1"/>
  <c r="U979" i="1"/>
  <c r="T979" i="1"/>
  <c r="S979" i="1"/>
  <c r="R979" i="1"/>
  <c r="Q979" i="1"/>
  <c r="P979" i="1"/>
  <c r="V978" i="1"/>
  <c r="U978" i="1"/>
  <c r="T978" i="1"/>
  <c r="S978" i="1"/>
  <c r="R978" i="1"/>
  <c r="Q978" i="1"/>
  <c r="P978" i="1"/>
  <c r="V977" i="1"/>
  <c r="U977" i="1"/>
  <c r="T977" i="1"/>
  <c r="S977" i="1"/>
  <c r="R977" i="1"/>
  <c r="Q977" i="1"/>
  <c r="P977" i="1"/>
  <c r="V976" i="1"/>
  <c r="U976" i="1"/>
  <c r="T976" i="1"/>
  <c r="S976" i="1"/>
  <c r="R976" i="1"/>
  <c r="Q976" i="1"/>
  <c r="P976" i="1"/>
  <c r="V975" i="1"/>
  <c r="U975" i="1"/>
  <c r="T975" i="1"/>
  <c r="S975" i="1"/>
  <c r="R975" i="1"/>
  <c r="Q975" i="1"/>
  <c r="P975" i="1"/>
  <c r="V974" i="1"/>
  <c r="U974" i="1"/>
  <c r="T974" i="1"/>
  <c r="S974" i="1"/>
  <c r="R974" i="1"/>
  <c r="Q974" i="1"/>
  <c r="P974" i="1"/>
  <c r="V973" i="1"/>
  <c r="U973" i="1"/>
  <c r="T973" i="1"/>
  <c r="S973" i="1"/>
  <c r="R973" i="1"/>
  <c r="Q973" i="1"/>
  <c r="P973" i="1"/>
  <c r="V972" i="1"/>
  <c r="U972" i="1"/>
  <c r="T972" i="1"/>
  <c r="S972" i="1"/>
  <c r="R972" i="1"/>
  <c r="Q972" i="1"/>
  <c r="P972" i="1"/>
  <c r="V971" i="1"/>
  <c r="U971" i="1"/>
  <c r="T971" i="1"/>
  <c r="S971" i="1"/>
  <c r="R971" i="1"/>
  <c r="Q971" i="1"/>
  <c r="P971" i="1"/>
  <c r="V970" i="1"/>
  <c r="U970" i="1"/>
  <c r="T970" i="1"/>
  <c r="S970" i="1"/>
  <c r="R970" i="1"/>
  <c r="Q970" i="1"/>
  <c r="P970" i="1"/>
  <c r="V969" i="1"/>
  <c r="U969" i="1"/>
  <c r="T969" i="1"/>
  <c r="S969" i="1"/>
  <c r="R969" i="1"/>
  <c r="Q969" i="1"/>
  <c r="P969" i="1"/>
  <c r="V968" i="1"/>
  <c r="U968" i="1"/>
  <c r="T968" i="1"/>
  <c r="S968" i="1"/>
  <c r="R968" i="1"/>
  <c r="Q968" i="1"/>
  <c r="P968" i="1"/>
  <c r="V967" i="1"/>
  <c r="U967" i="1"/>
  <c r="T967" i="1"/>
  <c r="S967" i="1"/>
  <c r="R967" i="1"/>
  <c r="Q967" i="1"/>
  <c r="P967" i="1"/>
  <c r="V966" i="1"/>
  <c r="U966" i="1"/>
  <c r="T966" i="1"/>
  <c r="S966" i="1"/>
  <c r="R966" i="1"/>
  <c r="Q966" i="1"/>
  <c r="P966" i="1"/>
  <c r="V965" i="1"/>
  <c r="U965" i="1"/>
  <c r="T965" i="1"/>
  <c r="S965" i="1"/>
  <c r="R965" i="1"/>
  <c r="Q965" i="1"/>
  <c r="P965" i="1"/>
  <c r="V964" i="1"/>
  <c r="U964" i="1"/>
  <c r="T964" i="1"/>
  <c r="S964" i="1"/>
  <c r="R964" i="1"/>
  <c r="Q964" i="1"/>
  <c r="P964" i="1"/>
  <c r="V963" i="1"/>
  <c r="U963" i="1"/>
  <c r="T963" i="1"/>
  <c r="S963" i="1"/>
  <c r="R963" i="1"/>
  <c r="Q963" i="1"/>
  <c r="P963" i="1"/>
  <c r="V962" i="1"/>
  <c r="U962" i="1"/>
  <c r="T962" i="1"/>
  <c r="S962" i="1"/>
  <c r="R962" i="1"/>
  <c r="Q962" i="1"/>
  <c r="P962" i="1"/>
  <c r="V961" i="1"/>
  <c r="U961" i="1"/>
  <c r="T961" i="1"/>
  <c r="S961" i="1"/>
  <c r="R961" i="1"/>
  <c r="Q961" i="1"/>
  <c r="P961" i="1"/>
  <c r="V960" i="1"/>
  <c r="U960" i="1"/>
  <c r="T960" i="1"/>
  <c r="S960" i="1"/>
  <c r="R960" i="1"/>
  <c r="Q960" i="1"/>
  <c r="P960" i="1"/>
  <c r="V959" i="1"/>
  <c r="U959" i="1"/>
  <c r="T959" i="1"/>
  <c r="S959" i="1"/>
  <c r="R959" i="1"/>
  <c r="Q959" i="1"/>
  <c r="P959" i="1"/>
  <c r="V958" i="1"/>
  <c r="U958" i="1"/>
  <c r="T958" i="1"/>
  <c r="S958" i="1"/>
  <c r="R958" i="1"/>
  <c r="Q958" i="1"/>
  <c r="P958" i="1"/>
  <c r="V957" i="1"/>
  <c r="U957" i="1"/>
  <c r="T957" i="1"/>
  <c r="S957" i="1"/>
  <c r="R957" i="1"/>
  <c r="Q957" i="1"/>
  <c r="P957" i="1"/>
  <c r="V956" i="1"/>
  <c r="U956" i="1"/>
  <c r="T956" i="1"/>
  <c r="S956" i="1"/>
  <c r="R956" i="1"/>
  <c r="Q956" i="1"/>
  <c r="P956" i="1"/>
  <c r="V955" i="1"/>
  <c r="U955" i="1"/>
  <c r="T955" i="1"/>
  <c r="S955" i="1"/>
  <c r="R955" i="1"/>
  <c r="Q955" i="1"/>
  <c r="P955" i="1"/>
  <c r="V954" i="1"/>
  <c r="U954" i="1"/>
  <c r="T954" i="1"/>
  <c r="S954" i="1"/>
  <c r="R954" i="1"/>
  <c r="Q954" i="1"/>
  <c r="P954" i="1"/>
  <c r="V953" i="1"/>
  <c r="U953" i="1"/>
  <c r="T953" i="1"/>
  <c r="S953" i="1"/>
  <c r="R953" i="1"/>
  <c r="Q953" i="1"/>
  <c r="P953" i="1"/>
  <c r="V952" i="1"/>
  <c r="U952" i="1"/>
  <c r="T952" i="1"/>
  <c r="S952" i="1"/>
  <c r="R952" i="1"/>
  <c r="Q952" i="1"/>
  <c r="P952" i="1"/>
  <c r="V951" i="1"/>
  <c r="U951" i="1"/>
  <c r="T951" i="1"/>
  <c r="S951" i="1"/>
  <c r="R951" i="1"/>
  <c r="Q951" i="1"/>
  <c r="P951" i="1"/>
  <c r="V950" i="1"/>
  <c r="U950" i="1"/>
  <c r="T950" i="1"/>
  <c r="S950" i="1"/>
  <c r="R950" i="1"/>
  <c r="Q950" i="1"/>
  <c r="P950" i="1"/>
  <c r="V949" i="1"/>
  <c r="U949" i="1"/>
  <c r="T949" i="1"/>
  <c r="S949" i="1"/>
  <c r="R949" i="1"/>
  <c r="Q949" i="1"/>
  <c r="P949" i="1"/>
  <c r="V948" i="1"/>
  <c r="U948" i="1"/>
  <c r="T948" i="1"/>
  <c r="S948" i="1"/>
  <c r="R948" i="1"/>
  <c r="Q948" i="1"/>
  <c r="P948" i="1"/>
  <c r="V947" i="1"/>
  <c r="U947" i="1"/>
  <c r="T947" i="1"/>
  <c r="S947" i="1"/>
  <c r="R947" i="1"/>
  <c r="Q947" i="1"/>
  <c r="P947" i="1"/>
  <c r="V946" i="1"/>
  <c r="U946" i="1"/>
  <c r="T946" i="1"/>
  <c r="S946" i="1"/>
  <c r="R946" i="1"/>
  <c r="Q946" i="1"/>
  <c r="P946" i="1"/>
  <c r="V945" i="1"/>
  <c r="U945" i="1"/>
  <c r="T945" i="1"/>
  <c r="S945" i="1"/>
  <c r="R945" i="1"/>
  <c r="Q945" i="1"/>
  <c r="P945" i="1"/>
  <c r="V944" i="1"/>
  <c r="U944" i="1"/>
  <c r="T944" i="1"/>
  <c r="S944" i="1"/>
  <c r="R944" i="1"/>
  <c r="Q944" i="1"/>
  <c r="P944" i="1"/>
  <c r="V943" i="1"/>
  <c r="U943" i="1"/>
  <c r="T943" i="1"/>
  <c r="S943" i="1"/>
  <c r="R943" i="1"/>
  <c r="Q943" i="1"/>
  <c r="P943" i="1"/>
  <c r="V942" i="1"/>
  <c r="U942" i="1"/>
  <c r="T942" i="1"/>
  <c r="S942" i="1"/>
  <c r="R942" i="1"/>
  <c r="Q942" i="1"/>
  <c r="P942" i="1"/>
  <c r="V941" i="1"/>
  <c r="U941" i="1"/>
  <c r="T941" i="1"/>
  <c r="S941" i="1"/>
  <c r="R941" i="1"/>
  <c r="Q941" i="1"/>
  <c r="P941" i="1"/>
  <c r="V940" i="1"/>
  <c r="U940" i="1"/>
  <c r="T940" i="1"/>
  <c r="S940" i="1"/>
  <c r="R940" i="1"/>
  <c r="Q940" i="1"/>
  <c r="P940" i="1"/>
  <c r="V939" i="1"/>
  <c r="U939" i="1"/>
  <c r="T939" i="1"/>
  <c r="S939" i="1"/>
  <c r="R939" i="1"/>
  <c r="Q939" i="1"/>
  <c r="P939" i="1"/>
  <c r="V938" i="1"/>
  <c r="U938" i="1"/>
  <c r="T938" i="1"/>
  <c r="S938" i="1"/>
  <c r="R938" i="1"/>
  <c r="Q938" i="1"/>
  <c r="P938" i="1"/>
  <c r="V937" i="1"/>
  <c r="U937" i="1"/>
  <c r="T937" i="1"/>
  <c r="S937" i="1"/>
  <c r="R937" i="1"/>
  <c r="Q937" i="1"/>
  <c r="P937" i="1"/>
  <c r="V936" i="1"/>
  <c r="U936" i="1"/>
  <c r="T936" i="1"/>
  <c r="S936" i="1"/>
  <c r="R936" i="1"/>
  <c r="Q936" i="1"/>
  <c r="P936" i="1"/>
  <c r="V935" i="1"/>
  <c r="U935" i="1"/>
  <c r="T935" i="1"/>
  <c r="S935" i="1"/>
  <c r="R935" i="1"/>
  <c r="Q935" i="1"/>
  <c r="P935" i="1"/>
  <c r="V934" i="1"/>
  <c r="U934" i="1"/>
  <c r="T934" i="1"/>
  <c r="S934" i="1"/>
  <c r="R934" i="1"/>
  <c r="Q934" i="1"/>
  <c r="P934" i="1"/>
  <c r="V933" i="1"/>
  <c r="U933" i="1"/>
  <c r="T933" i="1"/>
  <c r="S933" i="1"/>
  <c r="R933" i="1"/>
  <c r="Q933" i="1"/>
  <c r="P933" i="1"/>
  <c r="V932" i="1"/>
  <c r="U932" i="1"/>
  <c r="T932" i="1"/>
  <c r="S932" i="1"/>
  <c r="R932" i="1"/>
  <c r="Q932" i="1"/>
  <c r="P932" i="1"/>
  <c r="V931" i="1"/>
  <c r="U931" i="1"/>
  <c r="T931" i="1"/>
  <c r="S931" i="1"/>
  <c r="R931" i="1"/>
  <c r="Q931" i="1"/>
  <c r="P931" i="1"/>
  <c r="V930" i="1"/>
  <c r="U930" i="1"/>
  <c r="T930" i="1"/>
  <c r="S930" i="1"/>
  <c r="R930" i="1"/>
  <c r="Q930" i="1"/>
  <c r="P930" i="1"/>
  <c r="V929" i="1"/>
  <c r="U929" i="1"/>
  <c r="T929" i="1"/>
  <c r="S929" i="1"/>
  <c r="R929" i="1"/>
  <c r="Q929" i="1"/>
  <c r="P929" i="1"/>
  <c r="V928" i="1"/>
  <c r="U928" i="1"/>
  <c r="T928" i="1"/>
  <c r="S928" i="1"/>
  <c r="R928" i="1"/>
  <c r="Q928" i="1"/>
  <c r="P928" i="1"/>
  <c r="V927" i="1"/>
  <c r="U927" i="1"/>
  <c r="T927" i="1"/>
  <c r="S927" i="1"/>
  <c r="R927" i="1"/>
  <c r="Q927" i="1"/>
  <c r="P927" i="1"/>
  <c r="V926" i="1"/>
  <c r="U926" i="1"/>
  <c r="T926" i="1"/>
  <c r="S926" i="1"/>
  <c r="R926" i="1"/>
  <c r="Q926" i="1"/>
  <c r="P926" i="1"/>
  <c r="V925" i="1"/>
  <c r="U925" i="1"/>
  <c r="T925" i="1"/>
  <c r="S925" i="1"/>
  <c r="R925" i="1"/>
  <c r="Q925" i="1"/>
  <c r="P925" i="1"/>
  <c r="V924" i="1"/>
  <c r="U924" i="1"/>
  <c r="T924" i="1"/>
  <c r="S924" i="1"/>
  <c r="R924" i="1"/>
  <c r="Q924" i="1"/>
  <c r="P924" i="1"/>
  <c r="V923" i="1"/>
  <c r="U923" i="1"/>
  <c r="T923" i="1"/>
  <c r="S923" i="1"/>
  <c r="R923" i="1"/>
  <c r="Q923" i="1"/>
  <c r="P923" i="1"/>
  <c r="V922" i="1"/>
  <c r="U922" i="1"/>
  <c r="T922" i="1"/>
  <c r="S922" i="1"/>
  <c r="R922" i="1"/>
  <c r="Q922" i="1"/>
  <c r="P922" i="1"/>
  <c r="V921" i="1"/>
  <c r="U921" i="1"/>
  <c r="T921" i="1"/>
  <c r="S921" i="1"/>
  <c r="R921" i="1"/>
  <c r="Q921" i="1"/>
  <c r="P921" i="1"/>
  <c r="V920" i="1"/>
  <c r="U920" i="1"/>
  <c r="T920" i="1"/>
  <c r="S920" i="1"/>
  <c r="R920" i="1"/>
  <c r="Q920" i="1"/>
  <c r="P920" i="1"/>
  <c r="V919" i="1"/>
  <c r="U919" i="1"/>
  <c r="T919" i="1"/>
  <c r="S919" i="1"/>
  <c r="R919" i="1"/>
  <c r="Q919" i="1"/>
  <c r="P919" i="1"/>
  <c r="V918" i="1"/>
  <c r="U918" i="1"/>
  <c r="T918" i="1"/>
  <c r="S918" i="1"/>
  <c r="R918" i="1"/>
  <c r="Q918" i="1"/>
  <c r="P918" i="1"/>
  <c r="V917" i="1"/>
  <c r="U917" i="1"/>
  <c r="T917" i="1"/>
  <c r="S917" i="1"/>
  <c r="R917" i="1"/>
  <c r="Q917" i="1"/>
  <c r="P917" i="1"/>
  <c r="V916" i="1"/>
  <c r="U916" i="1"/>
  <c r="T916" i="1"/>
  <c r="S916" i="1"/>
  <c r="R916" i="1"/>
  <c r="Q916" i="1"/>
  <c r="P916" i="1"/>
  <c r="V915" i="1"/>
  <c r="U915" i="1"/>
  <c r="T915" i="1"/>
  <c r="S915" i="1"/>
  <c r="R915" i="1"/>
  <c r="Q915" i="1"/>
  <c r="P915" i="1"/>
  <c r="V914" i="1"/>
  <c r="U914" i="1"/>
  <c r="T914" i="1"/>
  <c r="S914" i="1"/>
  <c r="R914" i="1"/>
  <c r="Q914" i="1"/>
  <c r="P914" i="1"/>
  <c r="V913" i="1"/>
  <c r="U913" i="1"/>
  <c r="T913" i="1"/>
  <c r="S913" i="1"/>
  <c r="R913" i="1"/>
  <c r="Q913" i="1"/>
  <c r="P913" i="1"/>
  <c r="V912" i="1"/>
  <c r="U912" i="1"/>
  <c r="T912" i="1"/>
  <c r="S912" i="1"/>
  <c r="R912" i="1"/>
  <c r="Q912" i="1"/>
  <c r="P912" i="1"/>
  <c r="V911" i="1"/>
  <c r="U911" i="1"/>
  <c r="T911" i="1"/>
  <c r="S911" i="1"/>
  <c r="R911" i="1"/>
  <c r="Q911" i="1"/>
  <c r="P911" i="1"/>
  <c r="V910" i="1"/>
  <c r="U910" i="1"/>
  <c r="T910" i="1"/>
  <c r="S910" i="1"/>
  <c r="R910" i="1"/>
  <c r="Q910" i="1"/>
  <c r="P910" i="1"/>
  <c r="V909" i="1"/>
  <c r="U909" i="1"/>
  <c r="T909" i="1"/>
  <c r="S909" i="1"/>
  <c r="R909" i="1"/>
  <c r="Q909" i="1"/>
  <c r="P909" i="1"/>
  <c r="V908" i="1"/>
  <c r="U908" i="1"/>
  <c r="T908" i="1"/>
  <c r="S908" i="1"/>
  <c r="R908" i="1"/>
  <c r="Q908" i="1"/>
  <c r="P908" i="1"/>
  <c r="V907" i="1"/>
  <c r="U907" i="1"/>
  <c r="T907" i="1"/>
  <c r="S907" i="1"/>
  <c r="R907" i="1"/>
  <c r="Q907" i="1"/>
  <c r="P907" i="1"/>
  <c r="V906" i="1"/>
  <c r="U906" i="1"/>
  <c r="T906" i="1"/>
  <c r="S906" i="1"/>
  <c r="R906" i="1"/>
  <c r="Q906" i="1"/>
  <c r="P906" i="1"/>
  <c r="V905" i="1"/>
  <c r="U905" i="1"/>
  <c r="T905" i="1"/>
  <c r="S905" i="1"/>
  <c r="R905" i="1"/>
  <c r="Q905" i="1"/>
  <c r="P905" i="1"/>
  <c r="V904" i="1"/>
  <c r="U904" i="1"/>
  <c r="T904" i="1"/>
  <c r="S904" i="1"/>
  <c r="R904" i="1"/>
  <c r="Q904" i="1"/>
  <c r="P904" i="1"/>
  <c r="V903" i="1"/>
  <c r="U903" i="1"/>
  <c r="T903" i="1"/>
  <c r="S903" i="1"/>
  <c r="R903" i="1"/>
  <c r="Q903" i="1"/>
  <c r="P903" i="1"/>
  <c r="V902" i="1"/>
  <c r="U902" i="1"/>
  <c r="T902" i="1"/>
  <c r="S902" i="1"/>
  <c r="R902" i="1"/>
  <c r="Q902" i="1"/>
  <c r="P902" i="1"/>
  <c r="V901" i="1"/>
  <c r="U901" i="1"/>
  <c r="T901" i="1"/>
  <c r="S901" i="1"/>
  <c r="R901" i="1"/>
  <c r="Q901" i="1"/>
  <c r="P901" i="1"/>
  <c r="V900" i="1"/>
  <c r="U900" i="1"/>
  <c r="T900" i="1"/>
  <c r="S900" i="1"/>
  <c r="R900" i="1"/>
  <c r="Q900" i="1"/>
  <c r="P900" i="1"/>
  <c r="V899" i="1"/>
  <c r="U899" i="1"/>
  <c r="T899" i="1"/>
  <c r="S899" i="1"/>
  <c r="R899" i="1"/>
  <c r="Q899" i="1"/>
  <c r="P899" i="1"/>
  <c r="V898" i="1"/>
  <c r="U898" i="1"/>
  <c r="T898" i="1"/>
  <c r="S898" i="1"/>
  <c r="R898" i="1"/>
  <c r="Q898" i="1"/>
  <c r="P898" i="1"/>
  <c r="V897" i="1"/>
  <c r="U897" i="1"/>
  <c r="T897" i="1"/>
  <c r="S897" i="1"/>
  <c r="R897" i="1"/>
  <c r="Q897" i="1"/>
  <c r="P897" i="1"/>
  <c r="V896" i="1"/>
  <c r="U896" i="1"/>
  <c r="T896" i="1"/>
  <c r="S896" i="1"/>
  <c r="R896" i="1"/>
  <c r="Q896" i="1"/>
  <c r="P896" i="1"/>
  <c r="V895" i="1"/>
  <c r="U895" i="1"/>
  <c r="T895" i="1"/>
  <c r="S895" i="1"/>
  <c r="R895" i="1"/>
  <c r="Q895" i="1"/>
  <c r="P895" i="1"/>
  <c r="V894" i="1"/>
  <c r="U894" i="1"/>
  <c r="T894" i="1"/>
  <c r="S894" i="1"/>
  <c r="R894" i="1"/>
  <c r="Q894" i="1"/>
  <c r="P894" i="1"/>
  <c r="V893" i="1"/>
  <c r="U893" i="1"/>
  <c r="T893" i="1"/>
  <c r="S893" i="1"/>
  <c r="R893" i="1"/>
  <c r="Q893" i="1"/>
  <c r="P893" i="1"/>
  <c r="V892" i="1"/>
  <c r="U892" i="1"/>
  <c r="T892" i="1"/>
  <c r="S892" i="1"/>
  <c r="R892" i="1"/>
  <c r="Q892" i="1"/>
  <c r="P892" i="1"/>
  <c r="V891" i="1"/>
  <c r="U891" i="1"/>
  <c r="T891" i="1"/>
  <c r="S891" i="1"/>
  <c r="R891" i="1"/>
  <c r="Q891" i="1"/>
  <c r="P891" i="1"/>
  <c r="V890" i="1"/>
  <c r="U890" i="1"/>
  <c r="T890" i="1"/>
  <c r="S890" i="1"/>
  <c r="R890" i="1"/>
  <c r="Q890" i="1"/>
  <c r="P890" i="1"/>
  <c r="V889" i="1"/>
  <c r="U889" i="1"/>
  <c r="T889" i="1"/>
  <c r="S889" i="1"/>
  <c r="R889" i="1"/>
  <c r="Q889" i="1"/>
  <c r="P889" i="1"/>
  <c r="V888" i="1"/>
  <c r="U888" i="1"/>
  <c r="T888" i="1"/>
  <c r="S888" i="1"/>
  <c r="R888" i="1"/>
  <c r="Q888" i="1"/>
  <c r="P888" i="1"/>
  <c r="V887" i="1"/>
  <c r="U887" i="1"/>
  <c r="T887" i="1"/>
  <c r="S887" i="1"/>
  <c r="R887" i="1"/>
  <c r="Q887" i="1"/>
  <c r="P887" i="1"/>
  <c r="V886" i="1"/>
  <c r="U886" i="1"/>
  <c r="T886" i="1"/>
  <c r="S886" i="1"/>
  <c r="R886" i="1"/>
  <c r="Q886" i="1"/>
  <c r="P886" i="1"/>
  <c r="V885" i="1"/>
  <c r="U885" i="1"/>
  <c r="T885" i="1"/>
  <c r="S885" i="1"/>
  <c r="R885" i="1"/>
  <c r="Q885" i="1"/>
  <c r="P885" i="1"/>
  <c r="V884" i="1"/>
  <c r="U884" i="1"/>
  <c r="T884" i="1"/>
  <c r="S884" i="1"/>
  <c r="R884" i="1"/>
  <c r="Q884" i="1"/>
  <c r="P884" i="1"/>
  <c r="V883" i="1"/>
  <c r="U883" i="1"/>
  <c r="T883" i="1"/>
  <c r="S883" i="1"/>
  <c r="R883" i="1"/>
  <c r="Q883" i="1"/>
  <c r="P883" i="1"/>
  <c r="V882" i="1"/>
  <c r="U882" i="1"/>
  <c r="T882" i="1"/>
  <c r="S882" i="1"/>
  <c r="R882" i="1"/>
  <c r="Q882" i="1"/>
  <c r="P882" i="1"/>
  <c r="V881" i="1"/>
  <c r="U881" i="1"/>
  <c r="T881" i="1"/>
  <c r="S881" i="1"/>
  <c r="R881" i="1"/>
  <c r="Q881" i="1"/>
  <c r="P881" i="1"/>
  <c r="V880" i="1"/>
  <c r="U880" i="1"/>
  <c r="T880" i="1"/>
  <c r="S880" i="1"/>
  <c r="R880" i="1"/>
  <c r="Q880" i="1"/>
  <c r="P880" i="1"/>
  <c r="V879" i="1"/>
  <c r="U879" i="1"/>
  <c r="T879" i="1"/>
  <c r="S879" i="1"/>
  <c r="R879" i="1"/>
  <c r="Q879" i="1"/>
  <c r="P879" i="1"/>
  <c r="V878" i="1"/>
  <c r="U878" i="1"/>
  <c r="T878" i="1"/>
  <c r="S878" i="1"/>
  <c r="R878" i="1"/>
  <c r="Q878" i="1"/>
  <c r="P878" i="1"/>
  <c r="V877" i="1"/>
  <c r="U877" i="1"/>
  <c r="T877" i="1"/>
  <c r="S877" i="1"/>
  <c r="R877" i="1"/>
  <c r="Q877" i="1"/>
  <c r="P877" i="1"/>
  <c r="V876" i="1"/>
  <c r="U876" i="1"/>
  <c r="T876" i="1"/>
  <c r="S876" i="1"/>
  <c r="R876" i="1"/>
  <c r="Q876" i="1"/>
  <c r="P876" i="1"/>
  <c r="V875" i="1"/>
  <c r="U875" i="1"/>
  <c r="T875" i="1"/>
  <c r="S875" i="1"/>
  <c r="R875" i="1"/>
  <c r="Q875" i="1"/>
  <c r="P875" i="1"/>
  <c r="V874" i="1"/>
  <c r="U874" i="1"/>
  <c r="T874" i="1"/>
  <c r="S874" i="1"/>
  <c r="R874" i="1"/>
  <c r="Q874" i="1"/>
  <c r="P874" i="1"/>
  <c r="V873" i="1"/>
  <c r="U873" i="1"/>
  <c r="T873" i="1"/>
  <c r="S873" i="1"/>
  <c r="R873" i="1"/>
  <c r="Q873" i="1"/>
  <c r="P873" i="1"/>
  <c r="V872" i="1"/>
  <c r="U872" i="1"/>
  <c r="T872" i="1"/>
  <c r="S872" i="1"/>
  <c r="R872" i="1"/>
  <c r="Q872" i="1"/>
  <c r="P872" i="1"/>
  <c r="V871" i="1"/>
  <c r="U871" i="1"/>
  <c r="T871" i="1"/>
  <c r="S871" i="1"/>
  <c r="R871" i="1"/>
  <c r="Q871" i="1"/>
  <c r="P871" i="1"/>
  <c r="V870" i="1"/>
  <c r="U870" i="1"/>
  <c r="T870" i="1"/>
  <c r="S870" i="1"/>
  <c r="R870" i="1"/>
  <c r="Q870" i="1"/>
  <c r="P870" i="1"/>
  <c r="V869" i="1"/>
  <c r="U869" i="1"/>
  <c r="T869" i="1"/>
  <c r="S869" i="1"/>
  <c r="R869" i="1"/>
  <c r="Q869" i="1"/>
  <c r="P869" i="1"/>
  <c r="V868" i="1"/>
  <c r="U868" i="1"/>
  <c r="T868" i="1"/>
  <c r="S868" i="1"/>
  <c r="R868" i="1"/>
  <c r="Q868" i="1"/>
  <c r="P868" i="1"/>
  <c r="V867" i="1"/>
  <c r="U867" i="1"/>
  <c r="T867" i="1"/>
  <c r="S867" i="1"/>
  <c r="R867" i="1"/>
  <c r="Q867" i="1"/>
  <c r="P867" i="1"/>
  <c r="V866" i="1"/>
  <c r="U866" i="1"/>
  <c r="T866" i="1"/>
  <c r="S866" i="1"/>
  <c r="R866" i="1"/>
  <c r="Q866" i="1"/>
  <c r="P866" i="1"/>
  <c r="V865" i="1"/>
  <c r="U865" i="1"/>
  <c r="T865" i="1"/>
  <c r="S865" i="1"/>
  <c r="R865" i="1"/>
  <c r="Q865" i="1"/>
  <c r="P865" i="1"/>
  <c r="V864" i="1"/>
  <c r="U864" i="1"/>
  <c r="T864" i="1"/>
  <c r="S864" i="1"/>
  <c r="R864" i="1"/>
  <c r="Q864" i="1"/>
  <c r="P864" i="1"/>
  <c r="V863" i="1"/>
  <c r="U863" i="1"/>
  <c r="T863" i="1"/>
  <c r="S863" i="1"/>
  <c r="R863" i="1"/>
  <c r="Q863" i="1"/>
  <c r="P863" i="1"/>
  <c r="V862" i="1"/>
  <c r="U862" i="1"/>
  <c r="T862" i="1"/>
  <c r="S862" i="1"/>
  <c r="R862" i="1"/>
  <c r="Q862" i="1"/>
  <c r="P862" i="1"/>
  <c r="V861" i="1"/>
  <c r="U861" i="1"/>
  <c r="T861" i="1"/>
  <c r="S861" i="1"/>
  <c r="R861" i="1"/>
  <c r="Q861" i="1"/>
  <c r="P861" i="1"/>
  <c r="V860" i="1"/>
  <c r="U860" i="1"/>
  <c r="T860" i="1"/>
  <c r="S860" i="1"/>
  <c r="R860" i="1"/>
  <c r="Q860" i="1"/>
  <c r="P860" i="1"/>
  <c r="V859" i="1"/>
  <c r="U859" i="1"/>
  <c r="T859" i="1"/>
  <c r="S859" i="1"/>
  <c r="R859" i="1"/>
  <c r="Q859" i="1"/>
  <c r="P859" i="1"/>
  <c r="V858" i="1"/>
  <c r="U858" i="1"/>
  <c r="T858" i="1"/>
  <c r="S858" i="1"/>
  <c r="R858" i="1"/>
  <c r="Q858" i="1"/>
  <c r="P858" i="1"/>
  <c r="V857" i="1"/>
  <c r="U857" i="1"/>
  <c r="T857" i="1"/>
  <c r="S857" i="1"/>
  <c r="R857" i="1"/>
  <c r="Q857" i="1"/>
  <c r="P857" i="1"/>
  <c r="V856" i="1"/>
  <c r="U856" i="1"/>
  <c r="T856" i="1"/>
  <c r="S856" i="1"/>
  <c r="R856" i="1"/>
  <c r="Q856" i="1"/>
  <c r="P856" i="1"/>
  <c r="V855" i="1"/>
  <c r="U855" i="1"/>
  <c r="T855" i="1"/>
  <c r="S855" i="1"/>
  <c r="R855" i="1"/>
  <c r="Q855" i="1"/>
  <c r="P855" i="1"/>
  <c r="V854" i="1"/>
  <c r="U854" i="1"/>
  <c r="T854" i="1"/>
  <c r="S854" i="1"/>
  <c r="R854" i="1"/>
  <c r="Q854" i="1"/>
  <c r="P854" i="1"/>
  <c r="V853" i="1"/>
  <c r="U853" i="1"/>
  <c r="T853" i="1"/>
  <c r="S853" i="1"/>
  <c r="R853" i="1"/>
  <c r="Q853" i="1"/>
  <c r="P853" i="1"/>
  <c r="V852" i="1"/>
  <c r="U852" i="1"/>
  <c r="T852" i="1"/>
  <c r="S852" i="1"/>
  <c r="R852" i="1"/>
  <c r="Q852" i="1"/>
  <c r="P852" i="1"/>
  <c r="V851" i="1"/>
  <c r="U851" i="1"/>
  <c r="T851" i="1"/>
  <c r="S851" i="1"/>
  <c r="R851" i="1"/>
  <c r="Q851" i="1"/>
  <c r="P851" i="1"/>
  <c r="V850" i="1"/>
  <c r="U850" i="1"/>
  <c r="T850" i="1"/>
  <c r="S850" i="1"/>
  <c r="R850" i="1"/>
  <c r="Q850" i="1"/>
  <c r="P850" i="1"/>
  <c r="V849" i="1"/>
  <c r="U849" i="1"/>
  <c r="T849" i="1"/>
  <c r="S849" i="1"/>
  <c r="R849" i="1"/>
  <c r="Q849" i="1"/>
  <c r="P849" i="1"/>
  <c r="V848" i="1"/>
  <c r="U848" i="1"/>
  <c r="T848" i="1"/>
  <c r="S848" i="1"/>
  <c r="R848" i="1"/>
  <c r="Q848" i="1"/>
  <c r="P848" i="1"/>
  <c r="V847" i="1"/>
  <c r="U847" i="1"/>
  <c r="T847" i="1"/>
  <c r="S847" i="1"/>
  <c r="R847" i="1"/>
  <c r="Q847" i="1"/>
  <c r="P847" i="1"/>
  <c r="V846" i="1"/>
  <c r="U846" i="1"/>
  <c r="T846" i="1"/>
  <c r="S846" i="1"/>
  <c r="R846" i="1"/>
  <c r="Q846" i="1"/>
  <c r="P846" i="1"/>
  <c r="V845" i="1"/>
  <c r="U845" i="1"/>
  <c r="T845" i="1"/>
  <c r="S845" i="1"/>
  <c r="R845" i="1"/>
  <c r="Q845" i="1"/>
  <c r="P845" i="1"/>
  <c r="V844" i="1"/>
  <c r="U844" i="1"/>
  <c r="T844" i="1"/>
  <c r="S844" i="1"/>
  <c r="R844" i="1"/>
  <c r="Q844" i="1"/>
  <c r="P844" i="1"/>
  <c r="V843" i="1"/>
  <c r="U843" i="1"/>
  <c r="T843" i="1"/>
  <c r="S843" i="1"/>
  <c r="R843" i="1"/>
  <c r="Q843" i="1"/>
  <c r="P843" i="1"/>
  <c r="V842" i="1"/>
  <c r="U842" i="1"/>
  <c r="T842" i="1"/>
  <c r="S842" i="1"/>
  <c r="R842" i="1"/>
  <c r="Q842" i="1"/>
  <c r="P842" i="1"/>
  <c r="V841" i="1"/>
  <c r="U841" i="1"/>
  <c r="T841" i="1"/>
  <c r="S841" i="1"/>
  <c r="R841" i="1"/>
  <c r="Q841" i="1"/>
  <c r="P841" i="1"/>
  <c r="V840" i="1"/>
  <c r="U840" i="1"/>
  <c r="T840" i="1"/>
  <c r="S840" i="1"/>
  <c r="R840" i="1"/>
  <c r="Q840" i="1"/>
  <c r="P840" i="1"/>
  <c r="V839" i="1"/>
  <c r="U839" i="1"/>
  <c r="T839" i="1"/>
  <c r="S839" i="1"/>
  <c r="R839" i="1"/>
  <c r="Q839" i="1"/>
  <c r="P839" i="1"/>
  <c r="V838" i="1"/>
  <c r="U838" i="1"/>
  <c r="T838" i="1"/>
  <c r="S838" i="1"/>
  <c r="R838" i="1"/>
  <c r="Q838" i="1"/>
  <c r="P838" i="1"/>
  <c r="V837" i="1"/>
  <c r="U837" i="1"/>
  <c r="T837" i="1"/>
  <c r="S837" i="1"/>
  <c r="R837" i="1"/>
  <c r="Q837" i="1"/>
  <c r="P837" i="1"/>
  <c r="V836" i="1"/>
  <c r="U836" i="1"/>
  <c r="T836" i="1"/>
  <c r="S836" i="1"/>
  <c r="R836" i="1"/>
  <c r="Q836" i="1"/>
  <c r="P836" i="1"/>
  <c r="V835" i="1"/>
  <c r="U835" i="1"/>
  <c r="T835" i="1"/>
  <c r="S835" i="1"/>
  <c r="R835" i="1"/>
  <c r="Q835" i="1"/>
  <c r="P835" i="1"/>
  <c r="V834" i="1"/>
  <c r="U834" i="1"/>
  <c r="T834" i="1"/>
  <c r="S834" i="1"/>
  <c r="R834" i="1"/>
  <c r="Q834" i="1"/>
  <c r="P834" i="1"/>
  <c r="V833" i="1"/>
  <c r="U833" i="1"/>
  <c r="T833" i="1"/>
  <c r="S833" i="1"/>
  <c r="R833" i="1"/>
  <c r="Q833" i="1"/>
  <c r="P833" i="1"/>
  <c r="V832" i="1"/>
  <c r="U832" i="1"/>
  <c r="T832" i="1"/>
  <c r="S832" i="1"/>
  <c r="R832" i="1"/>
  <c r="Q832" i="1"/>
  <c r="P832" i="1"/>
  <c r="V831" i="1"/>
  <c r="U831" i="1"/>
  <c r="T831" i="1"/>
  <c r="S831" i="1"/>
  <c r="R831" i="1"/>
  <c r="Q831" i="1"/>
  <c r="P831" i="1"/>
  <c r="V830" i="1"/>
  <c r="U830" i="1"/>
  <c r="T830" i="1"/>
  <c r="S830" i="1"/>
  <c r="R830" i="1"/>
  <c r="Q830" i="1"/>
  <c r="P830" i="1"/>
  <c r="V829" i="1"/>
  <c r="U829" i="1"/>
  <c r="T829" i="1"/>
  <c r="S829" i="1"/>
  <c r="R829" i="1"/>
  <c r="Q829" i="1"/>
  <c r="P829" i="1"/>
  <c r="V828" i="1"/>
  <c r="U828" i="1"/>
  <c r="T828" i="1"/>
  <c r="S828" i="1"/>
  <c r="R828" i="1"/>
  <c r="Q828" i="1"/>
  <c r="P828" i="1"/>
  <c r="V827" i="1"/>
  <c r="U827" i="1"/>
  <c r="T827" i="1"/>
  <c r="S827" i="1"/>
  <c r="R827" i="1"/>
  <c r="Q827" i="1"/>
  <c r="P827" i="1"/>
  <c r="V826" i="1"/>
  <c r="U826" i="1"/>
  <c r="T826" i="1"/>
  <c r="S826" i="1"/>
  <c r="R826" i="1"/>
  <c r="Q826" i="1"/>
  <c r="P826" i="1"/>
  <c r="V825" i="1"/>
  <c r="U825" i="1"/>
  <c r="T825" i="1"/>
  <c r="S825" i="1"/>
  <c r="R825" i="1"/>
  <c r="Q825" i="1"/>
  <c r="P825" i="1"/>
  <c r="V824" i="1"/>
  <c r="U824" i="1"/>
  <c r="T824" i="1"/>
  <c r="S824" i="1"/>
  <c r="R824" i="1"/>
  <c r="Q824" i="1"/>
  <c r="P824" i="1"/>
  <c r="V823" i="1"/>
  <c r="U823" i="1"/>
  <c r="T823" i="1"/>
  <c r="S823" i="1"/>
  <c r="R823" i="1"/>
  <c r="Q823" i="1"/>
  <c r="P823" i="1"/>
  <c r="V822" i="1"/>
  <c r="U822" i="1"/>
  <c r="T822" i="1"/>
  <c r="S822" i="1"/>
  <c r="R822" i="1"/>
  <c r="Q822" i="1"/>
  <c r="P822" i="1"/>
  <c r="V821" i="1"/>
  <c r="U821" i="1"/>
  <c r="T821" i="1"/>
  <c r="S821" i="1"/>
  <c r="R821" i="1"/>
  <c r="Q821" i="1"/>
  <c r="P821" i="1"/>
  <c r="V820" i="1"/>
  <c r="U820" i="1"/>
  <c r="T820" i="1"/>
  <c r="S820" i="1"/>
  <c r="R820" i="1"/>
  <c r="Q820" i="1"/>
  <c r="P820" i="1"/>
  <c r="V819" i="1"/>
  <c r="U819" i="1"/>
  <c r="T819" i="1"/>
  <c r="S819" i="1"/>
  <c r="R819" i="1"/>
  <c r="Q819" i="1"/>
  <c r="P819" i="1"/>
  <c r="V818" i="1"/>
  <c r="U818" i="1"/>
  <c r="T818" i="1"/>
  <c r="S818" i="1"/>
  <c r="R818" i="1"/>
  <c r="Q818" i="1"/>
  <c r="P818" i="1"/>
  <c r="V817" i="1"/>
  <c r="U817" i="1"/>
  <c r="T817" i="1"/>
  <c r="S817" i="1"/>
  <c r="R817" i="1"/>
  <c r="Q817" i="1"/>
  <c r="P817" i="1"/>
  <c r="V816" i="1"/>
  <c r="U816" i="1"/>
  <c r="T816" i="1"/>
  <c r="S816" i="1"/>
  <c r="R816" i="1"/>
  <c r="Q816" i="1"/>
  <c r="P816" i="1"/>
  <c r="V815" i="1"/>
  <c r="U815" i="1"/>
  <c r="T815" i="1"/>
  <c r="S815" i="1"/>
  <c r="R815" i="1"/>
  <c r="Q815" i="1"/>
  <c r="P815" i="1"/>
  <c r="V814" i="1"/>
  <c r="U814" i="1"/>
  <c r="T814" i="1"/>
  <c r="S814" i="1"/>
  <c r="R814" i="1"/>
  <c r="Q814" i="1"/>
  <c r="P814" i="1"/>
  <c r="V813" i="1"/>
  <c r="U813" i="1"/>
  <c r="T813" i="1"/>
  <c r="S813" i="1"/>
  <c r="R813" i="1"/>
  <c r="Q813" i="1"/>
  <c r="P813" i="1"/>
  <c r="V812" i="1"/>
  <c r="U812" i="1"/>
  <c r="T812" i="1"/>
  <c r="S812" i="1"/>
  <c r="R812" i="1"/>
  <c r="Q812" i="1"/>
  <c r="P812" i="1"/>
  <c r="V811" i="1"/>
  <c r="U811" i="1"/>
  <c r="T811" i="1"/>
  <c r="S811" i="1"/>
  <c r="R811" i="1"/>
  <c r="Q811" i="1"/>
  <c r="P811" i="1"/>
  <c r="V810" i="1"/>
  <c r="U810" i="1"/>
  <c r="T810" i="1"/>
  <c r="S810" i="1"/>
  <c r="R810" i="1"/>
  <c r="Q810" i="1"/>
  <c r="P810" i="1"/>
  <c r="V809" i="1"/>
  <c r="U809" i="1"/>
  <c r="T809" i="1"/>
  <c r="S809" i="1"/>
  <c r="R809" i="1"/>
  <c r="Q809" i="1"/>
  <c r="P809" i="1"/>
  <c r="V808" i="1"/>
  <c r="U808" i="1"/>
  <c r="T808" i="1"/>
  <c r="S808" i="1"/>
  <c r="R808" i="1"/>
  <c r="Q808" i="1"/>
  <c r="P808" i="1"/>
  <c r="V807" i="1"/>
  <c r="U807" i="1"/>
  <c r="T807" i="1"/>
  <c r="S807" i="1"/>
  <c r="R807" i="1"/>
  <c r="Q807" i="1"/>
  <c r="P807" i="1"/>
  <c r="V806" i="1"/>
  <c r="U806" i="1"/>
  <c r="T806" i="1"/>
  <c r="S806" i="1"/>
  <c r="R806" i="1"/>
  <c r="Q806" i="1"/>
  <c r="P806" i="1"/>
  <c r="V805" i="1"/>
  <c r="U805" i="1"/>
  <c r="T805" i="1"/>
  <c r="S805" i="1"/>
  <c r="R805" i="1"/>
  <c r="Q805" i="1"/>
  <c r="P805" i="1"/>
  <c r="V804" i="1"/>
  <c r="U804" i="1"/>
  <c r="T804" i="1"/>
  <c r="S804" i="1"/>
  <c r="R804" i="1"/>
  <c r="Q804" i="1"/>
  <c r="P804" i="1"/>
  <c r="V803" i="1"/>
  <c r="U803" i="1"/>
  <c r="T803" i="1"/>
  <c r="S803" i="1"/>
  <c r="R803" i="1"/>
  <c r="Q803" i="1"/>
  <c r="P803" i="1"/>
  <c r="V802" i="1"/>
  <c r="U802" i="1"/>
  <c r="T802" i="1"/>
  <c r="S802" i="1"/>
  <c r="R802" i="1"/>
  <c r="Q802" i="1"/>
  <c r="P802" i="1"/>
  <c r="V801" i="1"/>
  <c r="U801" i="1"/>
  <c r="T801" i="1"/>
  <c r="S801" i="1"/>
  <c r="R801" i="1"/>
  <c r="Q801" i="1"/>
  <c r="P801" i="1"/>
  <c r="V800" i="1"/>
  <c r="U800" i="1"/>
  <c r="T800" i="1"/>
  <c r="S800" i="1"/>
  <c r="R800" i="1"/>
  <c r="Q800" i="1"/>
  <c r="P800" i="1"/>
  <c r="V799" i="1"/>
  <c r="U799" i="1"/>
  <c r="T799" i="1"/>
  <c r="S799" i="1"/>
  <c r="R799" i="1"/>
  <c r="Q799" i="1"/>
  <c r="P799" i="1"/>
  <c r="V798" i="1"/>
  <c r="U798" i="1"/>
  <c r="T798" i="1"/>
  <c r="S798" i="1"/>
  <c r="R798" i="1"/>
  <c r="Q798" i="1"/>
  <c r="P798" i="1"/>
  <c r="V797" i="1"/>
  <c r="U797" i="1"/>
  <c r="T797" i="1"/>
  <c r="S797" i="1"/>
  <c r="R797" i="1"/>
  <c r="Q797" i="1"/>
  <c r="P797" i="1"/>
  <c r="V796" i="1"/>
  <c r="U796" i="1"/>
  <c r="T796" i="1"/>
  <c r="S796" i="1"/>
  <c r="R796" i="1"/>
  <c r="Q796" i="1"/>
  <c r="P796" i="1"/>
  <c r="V795" i="1"/>
  <c r="U795" i="1"/>
  <c r="T795" i="1"/>
  <c r="S795" i="1"/>
  <c r="R795" i="1"/>
  <c r="Q795" i="1"/>
  <c r="P795" i="1"/>
  <c r="V794" i="1"/>
  <c r="U794" i="1"/>
  <c r="T794" i="1"/>
  <c r="S794" i="1"/>
  <c r="R794" i="1"/>
  <c r="Q794" i="1"/>
  <c r="P794" i="1"/>
  <c r="V793" i="1"/>
  <c r="U793" i="1"/>
  <c r="T793" i="1"/>
  <c r="S793" i="1"/>
  <c r="R793" i="1"/>
  <c r="Q793" i="1"/>
  <c r="P793" i="1"/>
  <c r="V792" i="1"/>
  <c r="U792" i="1"/>
  <c r="T792" i="1"/>
  <c r="S792" i="1"/>
  <c r="R792" i="1"/>
  <c r="Q792" i="1"/>
  <c r="P792" i="1"/>
  <c r="V791" i="1"/>
  <c r="U791" i="1"/>
  <c r="T791" i="1"/>
  <c r="S791" i="1"/>
  <c r="R791" i="1"/>
  <c r="Q791" i="1"/>
  <c r="P791" i="1"/>
  <c r="V790" i="1"/>
  <c r="U790" i="1"/>
  <c r="T790" i="1"/>
  <c r="S790" i="1"/>
  <c r="R790" i="1"/>
  <c r="Q790" i="1"/>
  <c r="P790" i="1"/>
  <c r="V789" i="1"/>
  <c r="U789" i="1"/>
  <c r="T789" i="1"/>
  <c r="S789" i="1"/>
  <c r="R789" i="1"/>
  <c r="Q789" i="1"/>
  <c r="P789" i="1"/>
  <c r="V788" i="1"/>
  <c r="U788" i="1"/>
  <c r="T788" i="1"/>
  <c r="S788" i="1"/>
  <c r="R788" i="1"/>
  <c r="Q788" i="1"/>
  <c r="P788" i="1"/>
  <c r="V787" i="1"/>
  <c r="U787" i="1"/>
  <c r="T787" i="1"/>
  <c r="S787" i="1"/>
  <c r="R787" i="1"/>
  <c r="Q787" i="1"/>
  <c r="P787" i="1"/>
  <c r="V786" i="1"/>
  <c r="U786" i="1"/>
  <c r="T786" i="1"/>
  <c r="S786" i="1"/>
  <c r="R786" i="1"/>
  <c r="Q786" i="1"/>
  <c r="P786" i="1"/>
  <c r="V785" i="1"/>
  <c r="U785" i="1"/>
  <c r="T785" i="1"/>
  <c r="S785" i="1"/>
  <c r="R785" i="1"/>
  <c r="Q785" i="1"/>
  <c r="P785" i="1"/>
  <c r="V784" i="1"/>
  <c r="U784" i="1"/>
  <c r="T784" i="1"/>
  <c r="S784" i="1"/>
  <c r="R784" i="1"/>
  <c r="Q784" i="1"/>
  <c r="P784" i="1"/>
  <c r="V783" i="1"/>
  <c r="U783" i="1"/>
  <c r="T783" i="1"/>
  <c r="S783" i="1"/>
  <c r="R783" i="1"/>
  <c r="Q783" i="1"/>
  <c r="P783" i="1"/>
  <c r="V782" i="1"/>
  <c r="U782" i="1"/>
  <c r="T782" i="1"/>
  <c r="S782" i="1"/>
  <c r="R782" i="1"/>
  <c r="Q782" i="1"/>
  <c r="P782" i="1"/>
  <c r="V781" i="1"/>
  <c r="U781" i="1"/>
  <c r="T781" i="1"/>
  <c r="S781" i="1"/>
  <c r="R781" i="1"/>
  <c r="Q781" i="1"/>
  <c r="P781" i="1"/>
  <c r="V780" i="1"/>
  <c r="U780" i="1"/>
  <c r="T780" i="1"/>
  <c r="S780" i="1"/>
  <c r="R780" i="1"/>
  <c r="Q780" i="1"/>
  <c r="P780" i="1"/>
  <c r="V779" i="1"/>
  <c r="U779" i="1"/>
  <c r="T779" i="1"/>
  <c r="S779" i="1"/>
  <c r="R779" i="1"/>
  <c r="Q779" i="1"/>
  <c r="P779" i="1"/>
  <c r="V778" i="1"/>
  <c r="U778" i="1"/>
  <c r="T778" i="1"/>
  <c r="S778" i="1"/>
  <c r="R778" i="1"/>
  <c r="Q778" i="1"/>
  <c r="P778" i="1"/>
  <c r="V777" i="1"/>
  <c r="U777" i="1"/>
  <c r="T777" i="1"/>
  <c r="S777" i="1"/>
  <c r="R777" i="1"/>
  <c r="Q777" i="1"/>
  <c r="P777" i="1"/>
  <c r="V776" i="1"/>
  <c r="U776" i="1"/>
  <c r="T776" i="1"/>
  <c r="S776" i="1"/>
  <c r="R776" i="1"/>
  <c r="Q776" i="1"/>
  <c r="P776" i="1"/>
  <c r="V775" i="1"/>
  <c r="U775" i="1"/>
  <c r="T775" i="1"/>
  <c r="S775" i="1"/>
  <c r="R775" i="1"/>
  <c r="Q775" i="1"/>
  <c r="P775" i="1"/>
  <c r="V774" i="1"/>
  <c r="U774" i="1"/>
  <c r="T774" i="1"/>
  <c r="S774" i="1"/>
  <c r="R774" i="1"/>
  <c r="Q774" i="1"/>
  <c r="P774" i="1"/>
  <c r="V773" i="1"/>
  <c r="U773" i="1"/>
  <c r="T773" i="1"/>
  <c r="S773" i="1"/>
  <c r="R773" i="1"/>
  <c r="Q773" i="1"/>
  <c r="P773" i="1"/>
  <c r="V772" i="1"/>
  <c r="U772" i="1"/>
  <c r="T772" i="1"/>
  <c r="S772" i="1"/>
  <c r="R772" i="1"/>
  <c r="Q772" i="1"/>
  <c r="P772" i="1"/>
  <c r="V771" i="1"/>
  <c r="U771" i="1"/>
  <c r="T771" i="1"/>
  <c r="S771" i="1"/>
  <c r="R771" i="1"/>
  <c r="Q771" i="1"/>
  <c r="P771" i="1"/>
  <c r="V770" i="1"/>
  <c r="U770" i="1"/>
  <c r="T770" i="1"/>
  <c r="S770" i="1"/>
  <c r="R770" i="1"/>
  <c r="Q770" i="1"/>
  <c r="P770" i="1"/>
  <c r="V769" i="1"/>
  <c r="U769" i="1"/>
  <c r="T769" i="1"/>
  <c r="S769" i="1"/>
  <c r="R769" i="1"/>
  <c r="Q769" i="1"/>
  <c r="P769" i="1"/>
  <c r="V768" i="1"/>
  <c r="U768" i="1"/>
  <c r="T768" i="1"/>
  <c r="S768" i="1"/>
  <c r="R768" i="1"/>
  <c r="Q768" i="1"/>
  <c r="P768" i="1"/>
  <c r="V767" i="1"/>
  <c r="U767" i="1"/>
  <c r="T767" i="1"/>
  <c r="S767" i="1"/>
  <c r="R767" i="1"/>
  <c r="Q767" i="1"/>
  <c r="P767" i="1"/>
  <c r="V766" i="1"/>
  <c r="U766" i="1"/>
  <c r="T766" i="1"/>
  <c r="S766" i="1"/>
  <c r="R766" i="1"/>
  <c r="Q766" i="1"/>
  <c r="P766" i="1"/>
  <c r="V765" i="1"/>
  <c r="U765" i="1"/>
  <c r="T765" i="1"/>
  <c r="S765" i="1"/>
  <c r="R765" i="1"/>
  <c r="Q765" i="1"/>
  <c r="P765" i="1"/>
  <c r="V764" i="1"/>
  <c r="U764" i="1"/>
  <c r="T764" i="1"/>
  <c r="S764" i="1"/>
  <c r="R764" i="1"/>
  <c r="Q764" i="1"/>
  <c r="P764" i="1"/>
  <c r="V763" i="1"/>
  <c r="U763" i="1"/>
  <c r="T763" i="1"/>
  <c r="S763" i="1"/>
  <c r="R763" i="1"/>
  <c r="Q763" i="1"/>
  <c r="P763" i="1"/>
  <c r="V762" i="1"/>
  <c r="U762" i="1"/>
  <c r="T762" i="1"/>
  <c r="S762" i="1"/>
  <c r="R762" i="1"/>
  <c r="Q762" i="1"/>
  <c r="P762" i="1"/>
  <c r="V761" i="1"/>
  <c r="U761" i="1"/>
  <c r="T761" i="1"/>
  <c r="S761" i="1"/>
  <c r="R761" i="1"/>
  <c r="Q761" i="1"/>
  <c r="P761" i="1"/>
  <c r="V760" i="1"/>
  <c r="U760" i="1"/>
  <c r="T760" i="1"/>
  <c r="S760" i="1"/>
  <c r="R760" i="1"/>
  <c r="Q760" i="1"/>
  <c r="P760" i="1"/>
  <c r="V759" i="1"/>
  <c r="U759" i="1"/>
  <c r="T759" i="1"/>
  <c r="S759" i="1"/>
  <c r="R759" i="1"/>
  <c r="Q759" i="1"/>
  <c r="P759" i="1"/>
  <c r="V758" i="1"/>
  <c r="U758" i="1"/>
  <c r="T758" i="1"/>
  <c r="S758" i="1"/>
  <c r="R758" i="1"/>
  <c r="Q758" i="1"/>
  <c r="P758" i="1"/>
  <c r="V757" i="1"/>
  <c r="U757" i="1"/>
  <c r="T757" i="1"/>
  <c r="S757" i="1"/>
  <c r="R757" i="1"/>
  <c r="Q757" i="1"/>
  <c r="P757" i="1"/>
  <c r="V756" i="1"/>
  <c r="U756" i="1"/>
  <c r="T756" i="1"/>
  <c r="S756" i="1"/>
  <c r="R756" i="1"/>
  <c r="Q756" i="1"/>
  <c r="P756" i="1"/>
  <c r="V755" i="1"/>
  <c r="U755" i="1"/>
  <c r="T755" i="1"/>
  <c r="S755" i="1"/>
  <c r="R755" i="1"/>
  <c r="Q755" i="1"/>
  <c r="P755" i="1"/>
  <c r="V754" i="1"/>
  <c r="U754" i="1"/>
  <c r="T754" i="1"/>
  <c r="S754" i="1"/>
  <c r="R754" i="1"/>
  <c r="Q754" i="1"/>
  <c r="P754" i="1"/>
  <c r="V753" i="1"/>
  <c r="U753" i="1"/>
  <c r="T753" i="1"/>
  <c r="S753" i="1"/>
  <c r="R753" i="1"/>
  <c r="Q753" i="1"/>
  <c r="P753" i="1"/>
  <c r="V752" i="1"/>
  <c r="U752" i="1"/>
  <c r="T752" i="1"/>
  <c r="S752" i="1"/>
  <c r="R752" i="1"/>
  <c r="Q752" i="1"/>
  <c r="P752" i="1"/>
  <c r="V751" i="1"/>
  <c r="U751" i="1"/>
  <c r="T751" i="1"/>
  <c r="S751" i="1"/>
  <c r="R751" i="1"/>
  <c r="Q751" i="1"/>
  <c r="P751" i="1"/>
  <c r="V750" i="1"/>
  <c r="U750" i="1"/>
  <c r="T750" i="1"/>
  <c r="S750" i="1"/>
  <c r="R750" i="1"/>
  <c r="Q750" i="1"/>
  <c r="P750" i="1"/>
  <c r="V749" i="1"/>
  <c r="U749" i="1"/>
  <c r="T749" i="1"/>
  <c r="S749" i="1"/>
  <c r="R749" i="1"/>
  <c r="Q749" i="1"/>
  <c r="P749" i="1"/>
  <c r="V748" i="1"/>
  <c r="U748" i="1"/>
  <c r="T748" i="1"/>
  <c r="S748" i="1"/>
  <c r="R748" i="1"/>
  <c r="Q748" i="1"/>
  <c r="P748" i="1"/>
  <c r="V747" i="1"/>
  <c r="U747" i="1"/>
  <c r="T747" i="1"/>
  <c r="S747" i="1"/>
  <c r="R747" i="1"/>
  <c r="Q747" i="1"/>
  <c r="P747" i="1"/>
  <c r="V746" i="1"/>
  <c r="U746" i="1"/>
  <c r="T746" i="1"/>
  <c r="S746" i="1"/>
  <c r="R746" i="1"/>
  <c r="Q746" i="1"/>
  <c r="P746" i="1"/>
  <c r="V745" i="1"/>
  <c r="U745" i="1"/>
  <c r="T745" i="1"/>
  <c r="S745" i="1"/>
  <c r="R745" i="1"/>
  <c r="Q745" i="1"/>
  <c r="P745" i="1"/>
  <c r="V744" i="1"/>
  <c r="U744" i="1"/>
  <c r="T744" i="1"/>
  <c r="S744" i="1"/>
  <c r="R744" i="1"/>
  <c r="Q744" i="1"/>
  <c r="P744" i="1"/>
  <c r="V743" i="1"/>
  <c r="U743" i="1"/>
  <c r="T743" i="1"/>
  <c r="S743" i="1"/>
  <c r="R743" i="1"/>
  <c r="Q743" i="1"/>
  <c r="P743" i="1"/>
  <c r="V742" i="1"/>
  <c r="U742" i="1"/>
  <c r="T742" i="1"/>
  <c r="S742" i="1"/>
  <c r="R742" i="1"/>
  <c r="Q742" i="1"/>
  <c r="P742" i="1"/>
  <c r="V741" i="1"/>
  <c r="U741" i="1"/>
  <c r="T741" i="1"/>
  <c r="S741" i="1"/>
  <c r="R741" i="1"/>
  <c r="Q741" i="1"/>
  <c r="P741" i="1"/>
  <c r="V740" i="1"/>
  <c r="U740" i="1"/>
  <c r="T740" i="1"/>
  <c r="S740" i="1"/>
  <c r="R740" i="1"/>
  <c r="Q740" i="1"/>
  <c r="P740" i="1"/>
  <c r="V739" i="1"/>
  <c r="U739" i="1"/>
  <c r="T739" i="1"/>
  <c r="S739" i="1"/>
  <c r="R739" i="1"/>
  <c r="Q739" i="1"/>
  <c r="P739" i="1"/>
  <c r="V738" i="1"/>
  <c r="U738" i="1"/>
  <c r="T738" i="1"/>
  <c r="S738" i="1"/>
  <c r="R738" i="1"/>
  <c r="Q738" i="1"/>
  <c r="P738" i="1"/>
  <c r="V737" i="1"/>
  <c r="U737" i="1"/>
  <c r="T737" i="1"/>
  <c r="S737" i="1"/>
  <c r="R737" i="1"/>
  <c r="Q737" i="1"/>
  <c r="P737" i="1"/>
  <c r="V736" i="1"/>
  <c r="U736" i="1"/>
  <c r="T736" i="1"/>
  <c r="S736" i="1"/>
  <c r="R736" i="1"/>
  <c r="Q736" i="1"/>
  <c r="P736" i="1"/>
  <c r="V735" i="1"/>
  <c r="U735" i="1"/>
  <c r="T735" i="1"/>
  <c r="S735" i="1"/>
  <c r="R735" i="1"/>
  <c r="Q735" i="1"/>
  <c r="P735" i="1"/>
  <c r="V734" i="1"/>
  <c r="U734" i="1"/>
  <c r="T734" i="1"/>
  <c r="S734" i="1"/>
  <c r="R734" i="1"/>
  <c r="Q734" i="1"/>
  <c r="P734" i="1"/>
  <c r="V733" i="1"/>
  <c r="U733" i="1"/>
  <c r="T733" i="1"/>
  <c r="S733" i="1"/>
  <c r="R733" i="1"/>
  <c r="Q733" i="1"/>
  <c r="P733" i="1"/>
  <c r="V732" i="1"/>
  <c r="U732" i="1"/>
  <c r="T732" i="1"/>
  <c r="S732" i="1"/>
  <c r="R732" i="1"/>
  <c r="Q732" i="1"/>
  <c r="P732" i="1"/>
  <c r="V731" i="1"/>
  <c r="U731" i="1"/>
  <c r="T731" i="1"/>
  <c r="S731" i="1"/>
  <c r="R731" i="1"/>
  <c r="Q731" i="1"/>
  <c r="P731" i="1"/>
  <c r="V730" i="1"/>
  <c r="U730" i="1"/>
  <c r="T730" i="1"/>
  <c r="S730" i="1"/>
  <c r="R730" i="1"/>
  <c r="Q730" i="1"/>
  <c r="P730" i="1"/>
  <c r="V729" i="1"/>
  <c r="U729" i="1"/>
  <c r="T729" i="1"/>
  <c r="S729" i="1"/>
  <c r="R729" i="1"/>
  <c r="Q729" i="1"/>
  <c r="P729" i="1"/>
  <c r="V728" i="1"/>
  <c r="U728" i="1"/>
  <c r="T728" i="1"/>
  <c r="S728" i="1"/>
  <c r="R728" i="1"/>
  <c r="Q728" i="1"/>
  <c r="P728" i="1"/>
  <c r="V727" i="1"/>
  <c r="U727" i="1"/>
  <c r="T727" i="1"/>
  <c r="S727" i="1"/>
  <c r="R727" i="1"/>
  <c r="Q727" i="1"/>
  <c r="P727" i="1"/>
  <c r="V726" i="1"/>
  <c r="U726" i="1"/>
  <c r="T726" i="1"/>
  <c r="S726" i="1"/>
  <c r="R726" i="1"/>
  <c r="Q726" i="1"/>
  <c r="P726" i="1"/>
  <c r="V725" i="1"/>
  <c r="U725" i="1"/>
  <c r="T725" i="1"/>
  <c r="S725" i="1"/>
  <c r="R725" i="1"/>
  <c r="Q725" i="1"/>
  <c r="P725" i="1"/>
  <c r="V724" i="1"/>
  <c r="U724" i="1"/>
  <c r="T724" i="1"/>
  <c r="S724" i="1"/>
  <c r="R724" i="1"/>
  <c r="Q724" i="1"/>
  <c r="P724" i="1"/>
  <c r="V723" i="1"/>
  <c r="U723" i="1"/>
  <c r="T723" i="1"/>
  <c r="S723" i="1"/>
  <c r="R723" i="1"/>
  <c r="Q723" i="1"/>
  <c r="P723" i="1"/>
  <c r="V722" i="1"/>
  <c r="U722" i="1"/>
  <c r="T722" i="1"/>
  <c r="S722" i="1"/>
  <c r="R722" i="1"/>
  <c r="Q722" i="1"/>
  <c r="P722" i="1"/>
  <c r="V721" i="1"/>
  <c r="U721" i="1"/>
  <c r="T721" i="1"/>
  <c r="S721" i="1"/>
  <c r="R721" i="1"/>
  <c r="Q721" i="1"/>
  <c r="P721" i="1"/>
  <c r="V720" i="1"/>
  <c r="U720" i="1"/>
  <c r="T720" i="1"/>
  <c r="S720" i="1"/>
  <c r="R720" i="1"/>
  <c r="Q720" i="1"/>
  <c r="P720" i="1"/>
  <c r="V719" i="1"/>
  <c r="U719" i="1"/>
  <c r="T719" i="1"/>
  <c r="S719" i="1"/>
  <c r="R719" i="1"/>
  <c r="Q719" i="1"/>
  <c r="P719" i="1"/>
  <c r="V718" i="1"/>
  <c r="U718" i="1"/>
  <c r="T718" i="1"/>
  <c r="S718" i="1"/>
  <c r="R718" i="1"/>
  <c r="Q718" i="1"/>
  <c r="P718" i="1"/>
  <c r="V717" i="1"/>
  <c r="U717" i="1"/>
  <c r="T717" i="1"/>
  <c r="S717" i="1"/>
  <c r="R717" i="1"/>
  <c r="Q717" i="1"/>
  <c r="P717" i="1"/>
  <c r="V716" i="1"/>
  <c r="U716" i="1"/>
  <c r="T716" i="1"/>
  <c r="S716" i="1"/>
  <c r="R716" i="1"/>
  <c r="Q716" i="1"/>
  <c r="P716" i="1"/>
  <c r="V715" i="1"/>
  <c r="U715" i="1"/>
  <c r="T715" i="1"/>
  <c r="S715" i="1"/>
  <c r="R715" i="1"/>
  <c r="Q715" i="1"/>
  <c r="P715" i="1"/>
  <c r="V714" i="1"/>
  <c r="U714" i="1"/>
  <c r="T714" i="1"/>
  <c r="S714" i="1"/>
  <c r="R714" i="1"/>
  <c r="Q714" i="1"/>
  <c r="P714" i="1"/>
  <c r="V713" i="1"/>
  <c r="U713" i="1"/>
  <c r="T713" i="1"/>
  <c r="S713" i="1"/>
  <c r="R713" i="1"/>
  <c r="Q713" i="1"/>
  <c r="P713" i="1"/>
  <c r="V712" i="1"/>
  <c r="U712" i="1"/>
  <c r="T712" i="1"/>
  <c r="S712" i="1"/>
  <c r="R712" i="1"/>
  <c r="Q712" i="1"/>
  <c r="P712" i="1"/>
  <c r="V711" i="1"/>
  <c r="U711" i="1"/>
  <c r="T711" i="1"/>
  <c r="S711" i="1"/>
  <c r="R711" i="1"/>
  <c r="Q711" i="1"/>
  <c r="P711" i="1"/>
  <c r="V710" i="1"/>
  <c r="U710" i="1"/>
  <c r="T710" i="1"/>
  <c r="S710" i="1"/>
  <c r="R710" i="1"/>
  <c r="Q710" i="1"/>
  <c r="P710" i="1"/>
  <c r="V709" i="1"/>
  <c r="U709" i="1"/>
  <c r="T709" i="1"/>
  <c r="S709" i="1"/>
  <c r="R709" i="1"/>
  <c r="Q709" i="1"/>
  <c r="P709" i="1"/>
  <c r="V708" i="1"/>
  <c r="U708" i="1"/>
  <c r="T708" i="1"/>
  <c r="S708" i="1"/>
  <c r="R708" i="1"/>
  <c r="Q708" i="1"/>
  <c r="P708" i="1"/>
  <c r="V707" i="1"/>
  <c r="U707" i="1"/>
  <c r="T707" i="1"/>
  <c r="S707" i="1"/>
  <c r="R707" i="1"/>
  <c r="Q707" i="1"/>
  <c r="P707" i="1"/>
  <c r="V706" i="1"/>
  <c r="U706" i="1"/>
  <c r="T706" i="1"/>
  <c r="S706" i="1"/>
  <c r="R706" i="1"/>
  <c r="Q706" i="1"/>
  <c r="P706" i="1"/>
  <c r="V705" i="1"/>
  <c r="U705" i="1"/>
  <c r="T705" i="1"/>
  <c r="S705" i="1"/>
  <c r="R705" i="1"/>
  <c r="Q705" i="1"/>
  <c r="P705" i="1"/>
  <c r="V704" i="1"/>
  <c r="U704" i="1"/>
  <c r="T704" i="1"/>
  <c r="S704" i="1"/>
  <c r="R704" i="1"/>
  <c r="Q704" i="1"/>
  <c r="P704" i="1"/>
  <c r="V703" i="1"/>
  <c r="U703" i="1"/>
  <c r="T703" i="1"/>
  <c r="S703" i="1"/>
  <c r="R703" i="1"/>
  <c r="Q703" i="1"/>
  <c r="P703" i="1"/>
  <c r="V702" i="1"/>
  <c r="U702" i="1"/>
  <c r="T702" i="1"/>
  <c r="S702" i="1"/>
  <c r="R702" i="1"/>
  <c r="Q702" i="1"/>
  <c r="P702" i="1"/>
  <c r="V701" i="1"/>
  <c r="U701" i="1"/>
  <c r="T701" i="1"/>
  <c r="S701" i="1"/>
  <c r="R701" i="1"/>
  <c r="Q701" i="1"/>
  <c r="P701" i="1"/>
  <c r="V700" i="1"/>
  <c r="U700" i="1"/>
  <c r="T700" i="1"/>
  <c r="S700" i="1"/>
  <c r="R700" i="1"/>
  <c r="Q700" i="1"/>
  <c r="P700" i="1"/>
  <c r="V699" i="1"/>
  <c r="U699" i="1"/>
  <c r="T699" i="1"/>
  <c r="S699" i="1"/>
  <c r="R699" i="1"/>
  <c r="Q699" i="1"/>
  <c r="P699" i="1"/>
  <c r="V698" i="1"/>
  <c r="U698" i="1"/>
  <c r="T698" i="1"/>
  <c r="S698" i="1"/>
  <c r="R698" i="1"/>
  <c r="Q698" i="1"/>
  <c r="P698" i="1"/>
  <c r="V697" i="1"/>
  <c r="U697" i="1"/>
  <c r="T697" i="1"/>
  <c r="S697" i="1"/>
  <c r="R697" i="1"/>
  <c r="Q697" i="1"/>
  <c r="P697" i="1"/>
  <c r="V696" i="1"/>
  <c r="U696" i="1"/>
  <c r="T696" i="1"/>
  <c r="S696" i="1"/>
  <c r="R696" i="1"/>
  <c r="Q696" i="1"/>
  <c r="P696" i="1"/>
  <c r="V695" i="1"/>
  <c r="U695" i="1"/>
  <c r="T695" i="1"/>
  <c r="S695" i="1"/>
  <c r="R695" i="1"/>
  <c r="Q695" i="1"/>
  <c r="P695" i="1"/>
  <c r="V694" i="1"/>
  <c r="U694" i="1"/>
  <c r="T694" i="1"/>
  <c r="S694" i="1"/>
  <c r="R694" i="1"/>
  <c r="Q694" i="1"/>
  <c r="P694" i="1"/>
  <c r="V693" i="1"/>
  <c r="U693" i="1"/>
  <c r="T693" i="1"/>
  <c r="S693" i="1"/>
  <c r="R693" i="1"/>
  <c r="Q693" i="1"/>
  <c r="P693" i="1"/>
  <c r="V692" i="1"/>
  <c r="U692" i="1"/>
  <c r="T692" i="1"/>
  <c r="S692" i="1"/>
  <c r="R692" i="1"/>
  <c r="Q692" i="1"/>
  <c r="P692" i="1"/>
  <c r="V691" i="1"/>
  <c r="U691" i="1"/>
  <c r="T691" i="1"/>
  <c r="S691" i="1"/>
  <c r="R691" i="1"/>
  <c r="Q691" i="1"/>
  <c r="P691" i="1"/>
  <c r="V690" i="1"/>
  <c r="U690" i="1"/>
  <c r="T690" i="1"/>
  <c r="S690" i="1"/>
  <c r="R690" i="1"/>
  <c r="Q690" i="1"/>
  <c r="P690" i="1"/>
  <c r="V689" i="1"/>
  <c r="U689" i="1"/>
  <c r="T689" i="1"/>
  <c r="S689" i="1"/>
  <c r="R689" i="1"/>
  <c r="Q689" i="1"/>
  <c r="P689" i="1"/>
  <c r="V688" i="1"/>
  <c r="U688" i="1"/>
  <c r="T688" i="1"/>
  <c r="S688" i="1"/>
  <c r="R688" i="1"/>
  <c r="Q688" i="1"/>
  <c r="P688" i="1"/>
  <c r="V687" i="1"/>
  <c r="U687" i="1"/>
  <c r="T687" i="1"/>
  <c r="S687" i="1"/>
  <c r="R687" i="1"/>
  <c r="Q687" i="1"/>
  <c r="P687" i="1"/>
  <c r="V686" i="1"/>
  <c r="U686" i="1"/>
  <c r="T686" i="1"/>
  <c r="S686" i="1"/>
  <c r="R686" i="1"/>
  <c r="Q686" i="1"/>
  <c r="P686" i="1"/>
  <c r="V685" i="1"/>
  <c r="U685" i="1"/>
  <c r="T685" i="1"/>
  <c r="S685" i="1"/>
  <c r="R685" i="1"/>
  <c r="Q685" i="1"/>
  <c r="P685" i="1"/>
  <c r="V684" i="1"/>
  <c r="U684" i="1"/>
  <c r="T684" i="1"/>
  <c r="S684" i="1"/>
  <c r="R684" i="1"/>
  <c r="Q684" i="1"/>
  <c r="P684" i="1"/>
  <c r="V683" i="1"/>
  <c r="U683" i="1"/>
  <c r="T683" i="1"/>
  <c r="S683" i="1"/>
  <c r="R683" i="1"/>
  <c r="Q683" i="1"/>
  <c r="P683" i="1"/>
  <c r="V682" i="1"/>
  <c r="U682" i="1"/>
  <c r="T682" i="1"/>
  <c r="S682" i="1"/>
  <c r="R682" i="1"/>
  <c r="Q682" i="1"/>
  <c r="P682" i="1"/>
  <c r="V681" i="1"/>
  <c r="U681" i="1"/>
  <c r="T681" i="1"/>
  <c r="S681" i="1"/>
  <c r="R681" i="1"/>
  <c r="Q681" i="1"/>
  <c r="P681" i="1"/>
  <c r="V680" i="1"/>
  <c r="U680" i="1"/>
  <c r="T680" i="1"/>
  <c r="S680" i="1"/>
  <c r="R680" i="1"/>
  <c r="Q680" i="1"/>
  <c r="P680" i="1"/>
  <c r="V679" i="1"/>
  <c r="U679" i="1"/>
  <c r="T679" i="1"/>
  <c r="S679" i="1"/>
  <c r="R679" i="1"/>
  <c r="Q679" i="1"/>
  <c r="P679" i="1"/>
  <c r="V678" i="1"/>
  <c r="U678" i="1"/>
  <c r="T678" i="1"/>
  <c r="S678" i="1"/>
  <c r="R678" i="1"/>
  <c r="Q678" i="1"/>
  <c r="P678" i="1"/>
  <c r="V677" i="1"/>
  <c r="U677" i="1"/>
  <c r="T677" i="1"/>
  <c r="S677" i="1"/>
  <c r="R677" i="1"/>
  <c r="Q677" i="1"/>
  <c r="P677" i="1"/>
  <c r="V676" i="1"/>
  <c r="U676" i="1"/>
  <c r="T676" i="1"/>
  <c r="S676" i="1"/>
  <c r="R676" i="1"/>
  <c r="Q676" i="1"/>
  <c r="P676" i="1"/>
  <c r="V675" i="1"/>
  <c r="U675" i="1"/>
  <c r="T675" i="1"/>
  <c r="S675" i="1"/>
  <c r="R675" i="1"/>
  <c r="Q675" i="1"/>
  <c r="P675" i="1"/>
  <c r="V674" i="1"/>
  <c r="U674" i="1"/>
  <c r="T674" i="1"/>
  <c r="S674" i="1"/>
  <c r="R674" i="1"/>
  <c r="Q674" i="1"/>
  <c r="P674" i="1"/>
  <c r="V673" i="1"/>
  <c r="U673" i="1"/>
  <c r="T673" i="1"/>
  <c r="S673" i="1"/>
  <c r="R673" i="1"/>
  <c r="Q673" i="1"/>
  <c r="P673" i="1"/>
  <c r="V672" i="1"/>
  <c r="U672" i="1"/>
  <c r="T672" i="1"/>
  <c r="S672" i="1"/>
  <c r="R672" i="1"/>
  <c r="Q672" i="1"/>
  <c r="P672" i="1"/>
  <c r="V671" i="1"/>
  <c r="U671" i="1"/>
  <c r="T671" i="1"/>
  <c r="S671" i="1"/>
  <c r="R671" i="1"/>
  <c r="Q671" i="1"/>
  <c r="P671" i="1"/>
  <c r="V670" i="1"/>
  <c r="U670" i="1"/>
  <c r="T670" i="1"/>
  <c r="S670" i="1"/>
  <c r="R670" i="1"/>
  <c r="Q670" i="1"/>
  <c r="P670" i="1"/>
  <c r="V669" i="1"/>
  <c r="U669" i="1"/>
  <c r="T669" i="1"/>
  <c r="S669" i="1"/>
  <c r="R669" i="1"/>
  <c r="Q669" i="1"/>
  <c r="P669" i="1"/>
  <c r="V668" i="1"/>
  <c r="U668" i="1"/>
  <c r="T668" i="1"/>
  <c r="S668" i="1"/>
  <c r="R668" i="1"/>
  <c r="Q668" i="1"/>
  <c r="P668" i="1"/>
  <c r="V667" i="1"/>
  <c r="U667" i="1"/>
  <c r="T667" i="1"/>
  <c r="S667" i="1"/>
  <c r="R667" i="1"/>
  <c r="Q667" i="1"/>
  <c r="P667" i="1"/>
  <c r="V666" i="1"/>
  <c r="U666" i="1"/>
  <c r="T666" i="1"/>
  <c r="S666" i="1"/>
  <c r="R666" i="1"/>
  <c r="Q666" i="1"/>
  <c r="P666" i="1"/>
  <c r="V665" i="1"/>
  <c r="U665" i="1"/>
  <c r="T665" i="1"/>
  <c r="S665" i="1"/>
  <c r="R665" i="1"/>
  <c r="Q665" i="1"/>
  <c r="P665" i="1"/>
  <c r="V664" i="1"/>
  <c r="U664" i="1"/>
  <c r="T664" i="1"/>
  <c r="S664" i="1"/>
  <c r="R664" i="1"/>
  <c r="Q664" i="1"/>
  <c r="P664" i="1"/>
  <c r="V663" i="1"/>
  <c r="U663" i="1"/>
  <c r="T663" i="1"/>
  <c r="S663" i="1"/>
  <c r="R663" i="1"/>
  <c r="Q663" i="1"/>
  <c r="P663" i="1"/>
  <c r="V662" i="1"/>
  <c r="U662" i="1"/>
  <c r="T662" i="1"/>
  <c r="S662" i="1"/>
  <c r="R662" i="1"/>
  <c r="Q662" i="1"/>
  <c r="P662" i="1"/>
  <c r="V661" i="1"/>
  <c r="U661" i="1"/>
  <c r="T661" i="1"/>
  <c r="S661" i="1"/>
  <c r="R661" i="1"/>
  <c r="Q661" i="1"/>
  <c r="P661" i="1"/>
  <c r="V660" i="1"/>
  <c r="U660" i="1"/>
  <c r="T660" i="1"/>
  <c r="S660" i="1"/>
  <c r="R660" i="1"/>
  <c r="Q660" i="1"/>
  <c r="P660" i="1"/>
  <c r="V659" i="1"/>
  <c r="U659" i="1"/>
  <c r="T659" i="1"/>
  <c r="S659" i="1"/>
  <c r="R659" i="1"/>
  <c r="Q659" i="1"/>
  <c r="P659" i="1"/>
  <c r="V658" i="1"/>
  <c r="U658" i="1"/>
  <c r="T658" i="1"/>
  <c r="S658" i="1"/>
  <c r="R658" i="1"/>
  <c r="Q658" i="1"/>
  <c r="P658" i="1"/>
  <c r="V657" i="1"/>
  <c r="U657" i="1"/>
  <c r="T657" i="1"/>
  <c r="S657" i="1"/>
  <c r="R657" i="1"/>
  <c r="Q657" i="1"/>
  <c r="P657" i="1"/>
  <c r="V656" i="1"/>
  <c r="U656" i="1"/>
  <c r="T656" i="1"/>
  <c r="S656" i="1"/>
  <c r="R656" i="1"/>
  <c r="Q656" i="1"/>
  <c r="P656" i="1"/>
  <c r="V655" i="1"/>
  <c r="U655" i="1"/>
  <c r="T655" i="1"/>
  <c r="S655" i="1"/>
  <c r="R655" i="1"/>
  <c r="Q655" i="1"/>
  <c r="P655" i="1"/>
  <c r="V654" i="1"/>
  <c r="U654" i="1"/>
  <c r="T654" i="1"/>
  <c r="S654" i="1"/>
  <c r="R654" i="1"/>
  <c r="Q654" i="1"/>
  <c r="P654" i="1"/>
  <c r="V653" i="1"/>
  <c r="U653" i="1"/>
  <c r="T653" i="1"/>
  <c r="S653" i="1"/>
  <c r="R653" i="1"/>
  <c r="Q653" i="1"/>
  <c r="P653" i="1"/>
  <c r="V652" i="1"/>
  <c r="U652" i="1"/>
  <c r="T652" i="1"/>
  <c r="S652" i="1"/>
  <c r="R652" i="1"/>
  <c r="Q652" i="1"/>
  <c r="P652" i="1"/>
  <c r="V651" i="1"/>
  <c r="U651" i="1"/>
  <c r="T651" i="1"/>
  <c r="S651" i="1"/>
  <c r="R651" i="1"/>
  <c r="Q651" i="1"/>
  <c r="P651" i="1"/>
  <c r="V650" i="1"/>
  <c r="U650" i="1"/>
  <c r="T650" i="1"/>
  <c r="S650" i="1"/>
  <c r="R650" i="1"/>
  <c r="Q650" i="1"/>
  <c r="P650" i="1"/>
  <c r="V649" i="1"/>
  <c r="U649" i="1"/>
  <c r="T649" i="1"/>
  <c r="S649" i="1"/>
  <c r="R649" i="1"/>
  <c r="Q649" i="1"/>
  <c r="P649" i="1"/>
  <c r="V648" i="1"/>
  <c r="U648" i="1"/>
  <c r="T648" i="1"/>
  <c r="S648" i="1"/>
  <c r="R648" i="1"/>
  <c r="Q648" i="1"/>
  <c r="P648" i="1"/>
  <c r="V647" i="1"/>
  <c r="U647" i="1"/>
  <c r="T647" i="1"/>
  <c r="S647" i="1"/>
  <c r="R647" i="1"/>
  <c r="Q647" i="1"/>
  <c r="P647" i="1"/>
  <c r="V646" i="1"/>
  <c r="U646" i="1"/>
  <c r="T646" i="1"/>
  <c r="S646" i="1"/>
  <c r="R646" i="1"/>
  <c r="Q646" i="1"/>
  <c r="P646" i="1"/>
  <c r="V645" i="1"/>
  <c r="U645" i="1"/>
  <c r="T645" i="1"/>
  <c r="S645" i="1"/>
  <c r="R645" i="1"/>
  <c r="Q645" i="1"/>
  <c r="P645" i="1"/>
  <c r="V644" i="1"/>
  <c r="U644" i="1"/>
  <c r="T644" i="1"/>
  <c r="S644" i="1"/>
  <c r="R644" i="1"/>
  <c r="Q644" i="1"/>
  <c r="P644" i="1"/>
  <c r="V643" i="1"/>
  <c r="U643" i="1"/>
  <c r="T643" i="1"/>
  <c r="S643" i="1"/>
  <c r="R643" i="1"/>
  <c r="Q643" i="1"/>
  <c r="P643" i="1"/>
  <c r="V642" i="1"/>
  <c r="U642" i="1"/>
  <c r="T642" i="1"/>
  <c r="S642" i="1"/>
  <c r="R642" i="1"/>
  <c r="Q642" i="1"/>
  <c r="P642" i="1"/>
  <c r="V641" i="1"/>
  <c r="U641" i="1"/>
  <c r="T641" i="1"/>
  <c r="S641" i="1"/>
  <c r="R641" i="1"/>
  <c r="Q641" i="1"/>
  <c r="P641" i="1"/>
  <c r="V640" i="1"/>
  <c r="U640" i="1"/>
  <c r="T640" i="1"/>
  <c r="S640" i="1"/>
  <c r="R640" i="1"/>
  <c r="Q640" i="1"/>
  <c r="P640" i="1"/>
  <c r="V639" i="1"/>
  <c r="U639" i="1"/>
  <c r="T639" i="1"/>
  <c r="S639" i="1"/>
  <c r="R639" i="1"/>
  <c r="Q639" i="1"/>
  <c r="P639" i="1"/>
  <c r="V638" i="1"/>
  <c r="U638" i="1"/>
  <c r="T638" i="1"/>
  <c r="S638" i="1"/>
  <c r="R638" i="1"/>
  <c r="Q638" i="1"/>
  <c r="P638" i="1"/>
  <c r="V637" i="1"/>
  <c r="U637" i="1"/>
  <c r="T637" i="1"/>
  <c r="S637" i="1"/>
  <c r="R637" i="1"/>
  <c r="Q637" i="1"/>
  <c r="P637" i="1"/>
  <c r="V636" i="1"/>
  <c r="U636" i="1"/>
  <c r="T636" i="1"/>
  <c r="S636" i="1"/>
  <c r="R636" i="1"/>
  <c r="Q636" i="1"/>
  <c r="P636" i="1"/>
  <c r="V635" i="1"/>
  <c r="U635" i="1"/>
  <c r="T635" i="1"/>
  <c r="S635" i="1"/>
  <c r="R635" i="1"/>
  <c r="Q635" i="1"/>
  <c r="P635" i="1"/>
  <c r="V634" i="1"/>
  <c r="U634" i="1"/>
  <c r="T634" i="1"/>
  <c r="S634" i="1"/>
  <c r="R634" i="1"/>
  <c r="Q634" i="1"/>
  <c r="P634" i="1"/>
  <c r="V633" i="1"/>
  <c r="U633" i="1"/>
  <c r="T633" i="1"/>
  <c r="S633" i="1"/>
  <c r="R633" i="1"/>
  <c r="Q633" i="1"/>
  <c r="P633" i="1"/>
  <c r="V632" i="1"/>
  <c r="U632" i="1"/>
  <c r="T632" i="1"/>
  <c r="S632" i="1"/>
  <c r="R632" i="1"/>
  <c r="Q632" i="1"/>
  <c r="P632" i="1"/>
  <c r="V631" i="1"/>
  <c r="U631" i="1"/>
  <c r="T631" i="1"/>
  <c r="S631" i="1"/>
  <c r="R631" i="1"/>
  <c r="Q631" i="1"/>
  <c r="P631" i="1"/>
  <c r="V630" i="1"/>
  <c r="U630" i="1"/>
  <c r="T630" i="1"/>
  <c r="S630" i="1"/>
  <c r="R630" i="1"/>
  <c r="Q630" i="1"/>
  <c r="P630" i="1"/>
  <c r="V629" i="1"/>
  <c r="U629" i="1"/>
  <c r="T629" i="1"/>
  <c r="S629" i="1"/>
  <c r="R629" i="1"/>
  <c r="Q629" i="1"/>
  <c r="P629" i="1"/>
  <c r="V628" i="1"/>
  <c r="U628" i="1"/>
  <c r="T628" i="1"/>
  <c r="S628" i="1"/>
  <c r="R628" i="1"/>
  <c r="Q628" i="1"/>
  <c r="P628" i="1"/>
  <c r="V627" i="1"/>
  <c r="U627" i="1"/>
  <c r="T627" i="1"/>
  <c r="S627" i="1"/>
  <c r="R627" i="1"/>
  <c r="Q627" i="1"/>
  <c r="P627" i="1"/>
  <c r="V626" i="1"/>
  <c r="U626" i="1"/>
  <c r="T626" i="1"/>
  <c r="S626" i="1"/>
  <c r="R626" i="1"/>
  <c r="Q626" i="1"/>
  <c r="P626" i="1"/>
  <c r="V625" i="1"/>
  <c r="U625" i="1"/>
  <c r="T625" i="1"/>
  <c r="S625" i="1"/>
  <c r="R625" i="1"/>
  <c r="Q625" i="1"/>
  <c r="P625" i="1"/>
  <c r="V624" i="1"/>
  <c r="U624" i="1"/>
  <c r="T624" i="1"/>
  <c r="S624" i="1"/>
  <c r="R624" i="1"/>
  <c r="Q624" i="1"/>
  <c r="P624" i="1"/>
  <c r="V623" i="1"/>
  <c r="U623" i="1"/>
  <c r="T623" i="1"/>
  <c r="S623" i="1"/>
  <c r="R623" i="1"/>
  <c r="Q623" i="1"/>
  <c r="P623" i="1"/>
  <c r="V622" i="1"/>
  <c r="U622" i="1"/>
  <c r="T622" i="1"/>
  <c r="S622" i="1"/>
  <c r="R622" i="1"/>
  <c r="Q622" i="1"/>
  <c r="P622" i="1"/>
  <c r="V621" i="1"/>
  <c r="U621" i="1"/>
  <c r="T621" i="1"/>
  <c r="S621" i="1"/>
  <c r="R621" i="1"/>
  <c r="Q621" i="1"/>
  <c r="P621" i="1"/>
  <c r="V620" i="1"/>
  <c r="U620" i="1"/>
  <c r="T620" i="1"/>
  <c r="S620" i="1"/>
  <c r="R620" i="1"/>
  <c r="Q620" i="1"/>
  <c r="P620" i="1"/>
  <c r="V619" i="1"/>
  <c r="U619" i="1"/>
  <c r="T619" i="1"/>
  <c r="S619" i="1"/>
  <c r="R619" i="1"/>
  <c r="Q619" i="1"/>
  <c r="P619" i="1"/>
  <c r="V618" i="1"/>
  <c r="U618" i="1"/>
  <c r="T618" i="1"/>
  <c r="S618" i="1"/>
  <c r="R618" i="1"/>
  <c r="Q618" i="1"/>
  <c r="P618" i="1"/>
  <c r="V617" i="1"/>
  <c r="U617" i="1"/>
  <c r="T617" i="1"/>
  <c r="S617" i="1"/>
  <c r="R617" i="1"/>
  <c r="Q617" i="1"/>
  <c r="P617" i="1"/>
  <c r="V616" i="1"/>
  <c r="U616" i="1"/>
  <c r="T616" i="1"/>
  <c r="S616" i="1"/>
  <c r="R616" i="1"/>
  <c r="Q616" i="1"/>
  <c r="P616" i="1"/>
  <c r="V615" i="1"/>
  <c r="U615" i="1"/>
  <c r="T615" i="1"/>
  <c r="S615" i="1"/>
  <c r="R615" i="1"/>
  <c r="Q615" i="1"/>
  <c r="P615" i="1"/>
  <c r="V614" i="1"/>
  <c r="U614" i="1"/>
  <c r="T614" i="1"/>
  <c r="S614" i="1"/>
  <c r="R614" i="1"/>
  <c r="Q614" i="1"/>
  <c r="P614" i="1"/>
  <c r="V613" i="1"/>
  <c r="U613" i="1"/>
  <c r="T613" i="1"/>
  <c r="S613" i="1"/>
  <c r="R613" i="1"/>
  <c r="Q613" i="1"/>
  <c r="P613" i="1"/>
  <c r="V612" i="1"/>
  <c r="U612" i="1"/>
  <c r="T612" i="1"/>
  <c r="S612" i="1"/>
  <c r="R612" i="1"/>
  <c r="Q612" i="1"/>
  <c r="P612" i="1"/>
  <c r="V611" i="1"/>
  <c r="U611" i="1"/>
  <c r="T611" i="1"/>
  <c r="S611" i="1"/>
  <c r="R611" i="1"/>
  <c r="Q611" i="1"/>
  <c r="P611" i="1"/>
  <c r="V610" i="1"/>
  <c r="U610" i="1"/>
  <c r="T610" i="1"/>
  <c r="S610" i="1"/>
  <c r="R610" i="1"/>
  <c r="Q610" i="1"/>
  <c r="P610" i="1"/>
  <c r="V609" i="1"/>
  <c r="U609" i="1"/>
  <c r="T609" i="1"/>
  <c r="S609" i="1"/>
  <c r="R609" i="1"/>
  <c r="Q609" i="1"/>
  <c r="P609" i="1"/>
  <c r="V608" i="1"/>
  <c r="U608" i="1"/>
  <c r="T608" i="1"/>
  <c r="S608" i="1"/>
  <c r="R608" i="1"/>
  <c r="Q608" i="1"/>
  <c r="P608" i="1"/>
  <c r="V607" i="1"/>
  <c r="U607" i="1"/>
  <c r="T607" i="1"/>
  <c r="S607" i="1"/>
  <c r="R607" i="1"/>
  <c r="Q607" i="1"/>
  <c r="P607" i="1"/>
  <c r="V606" i="1"/>
  <c r="U606" i="1"/>
  <c r="T606" i="1"/>
  <c r="S606" i="1"/>
  <c r="R606" i="1"/>
  <c r="Q606" i="1"/>
  <c r="P606" i="1"/>
  <c r="V605" i="1"/>
  <c r="U605" i="1"/>
  <c r="T605" i="1"/>
  <c r="S605" i="1"/>
  <c r="R605" i="1"/>
  <c r="Q605" i="1"/>
  <c r="P605" i="1"/>
  <c r="V604" i="1"/>
  <c r="U604" i="1"/>
  <c r="T604" i="1"/>
  <c r="S604" i="1"/>
  <c r="R604" i="1"/>
  <c r="Q604" i="1"/>
  <c r="P604" i="1"/>
  <c r="V603" i="1"/>
  <c r="U603" i="1"/>
  <c r="T603" i="1"/>
  <c r="S603" i="1"/>
  <c r="R603" i="1"/>
  <c r="Q603" i="1"/>
  <c r="P603" i="1"/>
  <c r="V602" i="1"/>
  <c r="U602" i="1"/>
  <c r="T602" i="1"/>
  <c r="S602" i="1"/>
  <c r="R602" i="1"/>
  <c r="Q602" i="1"/>
  <c r="P602" i="1"/>
  <c r="V601" i="1"/>
  <c r="U601" i="1"/>
  <c r="T601" i="1"/>
  <c r="S601" i="1"/>
  <c r="R601" i="1"/>
  <c r="Q601" i="1"/>
  <c r="P601" i="1"/>
  <c r="V600" i="1"/>
  <c r="U600" i="1"/>
  <c r="T600" i="1"/>
  <c r="S600" i="1"/>
  <c r="R600" i="1"/>
  <c r="Q600" i="1"/>
  <c r="P600" i="1"/>
  <c r="V599" i="1"/>
  <c r="U599" i="1"/>
  <c r="T599" i="1"/>
  <c r="S599" i="1"/>
  <c r="R599" i="1"/>
  <c r="Q599" i="1"/>
  <c r="P599" i="1"/>
  <c r="V598" i="1"/>
  <c r="U598" i="1"/>
  <c r="T598" i="1"/>
  <c r="S598" i="1"/>
  <c r="R598" i="1"/>
  <c r="Q598" i="1"/>
  <c r="P598" i="1"/>
  <c r="V597" i="1"/>
  <c r="U597" i="1"/>
  <c r="T597" i="1"/>
  <c r="S597" i="1"/>
  <c r="R597" i="1"/>
  <c r="Q597" i="1"/>
  <c r="P597" i="1"/>
  <c r="V596" i="1"/>
  <c r="U596" i="1"/>
  <c r="T596" i="1"/>
  <c r="S596" i="1"/>
  <c r="R596" i="1"/>
  <c r="Q596" i="1"/>
  <c r="P596" i="1"/>
  <c r="V595" i="1"/>
  <c r="U595" i="1"/>
  <c r="T595" i="1"/>
  <c r="S595" i="1"/>
  <c r="R595" i="1"/>
  <c r="Q595" i="1"/>
  <c r="P595" i="1"/>
  <c r="V594" i="1"/>
  <c r="U594" i="1"/>
  <c r="T594" i="1"/>
  <c r="S594" i="1"/>
  <c r="R594" i="1"/>
  <c r="Q594" i="1"/>
  <c r="P594" i="1"/>
  <c r="V593" i="1"/>
  <c r="U593" i="1"/>
  <c r="T593" i="1"/>
  <c r="S593" i="1"/>
  <c r="R593" i="1"/>
  <c r="Q593" i="1"/>
  <c r="P593" i="1"/>
  <c r="V592" i="1"/>
  <c r="U592" i="1"/>
  <c r="T592" i="1"/>
  <c r="S592" i="1"/>
  <c r="R592" i="1"/>
  <c r="Q592" i="1"/>
  <c r="P592" i="1"/>
  <c r="V591" i="1"/>
  <c r="U591" i="1"/>
  <c r="T591" i="1"/>
  <c r="S591" i="1"/>
  <c r="R591" i="1"/>
  <c r="Q591" i="1"/>
  <c r="P591" i="1"/>
  <c r="V590" i="1"/>
  <c r="U590" i="1"/>
  <c r="T590" i="1"/>
  <c r="S590" i="1"/>
  <c r="R590" i="1"/>
  <c r="Q590" i="1"/>
  <c r="P590" i="1"/>
  <c r="V589" i="1"/>
  <c r="U589" i="1"/>
  <c r="T589" i="1"/>
  <c r="S589" i="1"/>
  <c r="R589" i="1"/>
  <c r="Q589" i="1"/>
  <c r="P589" i="1"/>
  <c r="V588" i="1"/>
  <c r="U588" i="1"/>
  <c r="T588" i="1"/>
  <c r="S588" i="1"/>
  <c r="R588" i="1"/>
  <c r="Q588" i="1"/>
  <c r="P588" i="1"/>
  <c r="V587" i="1"/>
  <c r="U587" i="1"/>
  <c r="T587" i="1"/>
  <c r="S587" i="1"/>
  <c r="R587" i="1"/>
  <c r="Q587" i="1"/>
  <c r="P587" i="1"/>
  <c r="V586" i="1"/>
  <c r="U586" i="1"/>
  <c r="T586" i="1"/>
  <c r="S586" i="1"/>
  <c r="R586" i="1"/>
  <c r="Q586" i="1"/>
  <c r="P586" i="1"/>
  <c r="V585" i="1"/>
  <c r="U585" i="1"/>
  <c r="T585" i="1"/>
  <c r="S585" i="1"/>
  <c r="R585" i="1"/>
  <c r="Q585" i="1"/>
  <c r="P585" i="1"/>
  <c r="V584" i="1"/>
  <c r="U584" i="1"/>
  <c r="T584" i="1"/>
  <c r="S584" i="1"/>
  <c r="R584" i="1"/>
  <c r="Q584" i="1"/>
  <c r="P584" i="1"/>
  <c r="V583" i="1"/>
  <c r="U583" i="1"/>
  <c r="T583" i="1"/>
  <c r="S583" i="1"/>
  <c r="R583" i="1"/>
  <c r="Q583" i="1"/>
  <c r="P583" i="1"/>
  <c r="V582" i="1"/>
  <c r="U582" i="1"/>
  <c r="T582" i="1"/>
  <c r="S582" i="1"/>
  <c r="R582" i="1"/>
  <c r="Q582" i="1"/>
  <c r="P582" i="1"/>
  <c r="V581" i="1"/>
  <c r="U581" i="1"/>
  <c r="T581" i="1"/>
  <c r="S581" i="1"/>
  <c r="R581" i="1"/>
  <c r="Q581" i="1"/>
  <c r="P581" i="1"/>
  <c r="V580" i="1"/>
  <c r="U580" i="1"/>
  <c r="T580" i="1"/>
  <c r="S580" i="1"/>
  <c r="R580" i="1"/>
  <c r="Q580" i="1"/>
  <c r="P580" i="1"/>
  <c r="V579" i="1"/>
  <c r="U579" i="1"/>
  <c r="T579" i="1"/>
  <c r="S579" i="1"/>
  <c r="R579" i="1"/>
  <c r="Q579" i="1"/>
  <c r="P579" i="1"/>
  <c r="V578" i="1"/>
  <c r="U578" i="1"/>
  <c r="T578" i="1"/>
  <c r="S578" i="1"/>
  <c r="R578" i="1"/>
  <c r="Q578" i="1"/>
  <c r="P578" i="1"/>
  <c r="V577" i="1"/>
  <c r="U577" i="1"/>
  <c r="T577" i="1"/>
  <c r="S577" i="1"/>
  <c r="R577" i="1"/>
  <c r="Q577" i="1"/>
  <c r="P577" i="1"/>
  <c r="V576" i="1"/>
  <c r="U576" i="1"/>
  <c r="T576" i="1"/>
  <c r="S576" i="1"/>
  <c r="R576" i="1"/>
  <c r="Q576" i="1"/>
  <c r="P576" i="1"/>
  <c r="V575" i="1"/>
  <c r="U575" i="1"/>
  <c r="T575" i="1"/>
  <c r="S575" i="1"/>
  <c r="R575" i="1"/>
  <c r="Q575" i="1"/>
  <c r="P575" i="1"/>
  <c r="V574" i="1"/>
  <c r="U574" i="1"/>
  <c r="T574" i="1"/>
  <c r="S574" i="1"/>
  <c r="R574" i="1"/>
  <c r="Q574" i="1"/>
  <c r="P574" i="1"/>
  <c r="V573" i="1"/>
  <c r="U573" i="1"/>
  <c r="T573" i="1"/>
  <c r="S573" i="1"/>
  <c r="R573" i="1"/>
  <c r="Q573" i="1"/>
  <c r="P573" i="1"/>
  <c r="V572" i="1"/>
  <c r="U572" i="1"/>
  <c r="T572" i="1"/>
  <c r="S572" i="1"/>
  <c r="R572" i="1"/>
  <c r="Q572" i="1"/>
  <c r="P572" i="1"/>
  <c r="V571" i="1"/>
  <c r="U571" i="1"/>
  <c r="T571" i="1"/>
  <c r="S571" i="1"/>
  <c r="R571" i="1"/>
  <c r="Q571" i="1"/>
  <c r="P571" i="1"/>
  <c r="V570" i="1"/>
  <c r="U570" i="1"/>
  <c r="T570" i="1"/>
  <c r="S570" i="1"/>
  <c r="R570" i="1"/>
  <c r="Q570" i="1"/>
  <c r="P570" i="1"/>
  <c r="V569" i="1"/>
  <c r="U569" i="1"/>
  <c r="T569" i="1"/>
  <c r="S569" i="1"/>
  <c r="R569" i="1"/>
  <c r="Q569" i="1"/>
  <c r="P569" i="1"/>
  <c r="V568" i="1"/>
  <c r="U568" i="1"/>
  <c r="T568" i="1"/>
  <c r="S568" i="1"/>
  <c r="R568" i="1"/>
  <c r="Q568" i="1"/>
  <c r="P568" i="1"/>
  <c r="V567" i="1"/>
  <c r="U567" i="1"/>
  <c r="T567" i="1"/>
  <c r="S567" i="1"/>
  <c r="R567" i="1"/>
  <c r="Q567" i="1"/>
  <c r="P567" i="1"/>
  <c r="V566" i="1"/>
  <c r="U566" i="1"/>
  <c r="T566" i="1"/>
  <c r="S566" i="1"/>
  <c r="R566" i="1"/>
  <c r="Q566" i="1"/>
  <c r="P566" i="1"/>
  <c r="V565" i="1"/>
  <c r="U565" i="1"/>
  <c r="T565" i="1"/>
  <c r="S565" i="1"/>
  <c r="R565" i="1"/>
  <c r="Q565" i="1"/>
  <c r="P565" i="1"/>
  <c r="V564" i="1"/>
  <c r="U564" i="1"/>
  <c r="T564" i="1"/>
  <c r="S564" i="1"/>
  <c r="R564" i="1"/>
  <c r="Q564" i="1"/>
  <c r="P564" i="1"/>
  <c r="V563" i="1"/>
  <c r="U563" i="1"/>
  <c r="T563" i="1"/>
  <c r="S563" i="1"/>
  <c r="R563" i="1"/>
  <c r="Q563" i="1"/>
  <c r="P563" i="1"/>
  <c r="V562" i="1"/>
  <c r="U562" i="1"/>
  <c r="T562" i="1"/>
  <c r="S562" i="1"/>
  <c r="R562" i="1"/>
  <c r="Q562" i="1"/>
  <c r="P562" i="1"/>
  <c r="V561" i="1"/>
  <c r="U561" i="1"/>
  <c r="T561" i="1"/>
  <c r="S561" i="1"/>
  <c r="R561" i="1"/>
  <c r="Q561" i="1"/>
  <c r="P561" i="1"/>
  <c r="V560" i="1"/>
  <c r="U560" i="1"/>
  <c r="T560" i="1"/>
  <c r="S560" i="1"/>
  <c r="R560" i="1"/>
  <c r="Q560" i="1"/>
  <c r="P560" i="1"/>
  <c r="V559" i="1"/>
  <c r="U559" i="1"/>
  <c r="T559" i="1"/>
  <c r="S559" i="1"/>
  <c r="R559" i="1"/>
  <c r="Q559" i="1"/>
  <c r="P559" i="1"/>
  <c r="V558" i="1"/>
  <c r="U558" i="1"/>
  <c r="T558" i="1"/>
  <c r="S558" i="1"/>
  <c r="R558" i="1"/>
  <c r="Q558" i="1"/>
  <c r="P558" i="1"/>
  <c r="V557" i="1"/>
  <c r="U557" i="1"/>
  <c r="T557" i="1"/>
  <c r="S557" i="1"/>
  <c r="R557" i="1"/>
  <c r="Q557" i="1"/>
  <c r="P557" i="1"/>
  <c r="V556" i="1"/>
  <c r="U556" i="1"/>
  <c r="T556" i="1"/>
  <c r="S556" i="1"/>
  <c r="R556" i="1"/>
  <c r="Q556" i="1"/>
  <c r="P556" i="1"/>
  <c r="V555" i="1"/>
  <c r="U555" i="1"/>
  <c r="T555" i="1"/>
  <c r="S555" i="1"/>
  <c r="R555" i="1"/>
  <c r="Q555" i="1"/>
  <c r="P555" i="1"/>
  <c r="V554" i="1"/>
  <c r="U554" i="1"/>
  <c r="T554" i="1"/>
  <c r="S554" i="1"/>
  <c r="R554" i="1"/>
  <c r="Q554" i="1"/>
  <c r="P554" i="1"/>
  <c r="V553" i="1"/>
  <c r="U553" i="1"/>
  <c r="T553" i="1"/>
  <c r="S553" i="1"/>
  <c r="R553" i="1"/>
  <c r="Q553" i="1"/>
  <c r="P553" i="1"/>
  <c r="V552" i="1"/>
  <c r="U552" i="1"/>
  <c r="T552" i="1"/>
  <c r="S552" i="1"/>
  <c r="R552" i="1"/>
  <c r="Q552" i="1"/>
  <c r="P552" i="1"/>
  <c r="V551" i="1"/>
  <c r="U551" i="1"/>
  <c r="T551" i="1"/>
  <c r="S551" i="1"/>
  <c r="R551" i="1"/>
  <c r="Q551" i="1"/>
  <c r="P551" i="1"/>
  <c r="V550" i="1"/>
  <c r="U550" i="1"/>
  <c r="T550" i="1"/>
  <c r="S550" i="1"/>
  <c r="R550" i="1"/>
  <c r="Q550" i="1"/>
  <c r="P550" i="1"/>
  <c r="V549" i="1"/>
  <c r="U549" i="1"/>
  <c r="T549" i="1"/>
  <c r="S549" i="1"/>
  <c r="R549" i="1"/>
  <c r="Q549" i="1"/>
  <c r="P549" i="1"/>
  <c r="V548" i="1"/>
  <c r="U548" i="1"/>
  <c r="T548" i="1"/>
  <c r="S548" i="1"/>
  <c r="R548" i="1"/>
  <c r="Q548" i="1"/>
  <c r="P548" i="1"/>
  <c r="V547" i="1"/>
  <c r="U547" i="1"/>
  <c r="T547" i="1"/>
  <c r="S547" i="1"/>
  <c r="R547" i="1"/>
  <c r="Q547" i="1"/>
  <c r="P547" i="1"/>
  <c r="V546" i="1"/>
  <c r="U546" i="1"/>
  <c r="T546" i="1"/>
  <c r="S546" i="1"/>
  <c r="R546" i="1"/>
  <c r="Q546" i="1"/>
  <c r="P546" i="1"/>
  <c r="V545" i="1"/>
  <c r="U545" i="1"/>
  <c r="T545" i="1"/>
  <c r="S545" i="1"/>
  <c r="R545" i="1"/>
  <c r="Q545" i="1"/>
  <c r="P545" i="1"/>
  <c r="V544" i="1"/>
  <c r="U544" i="1"/>
  <c r="T544" i="1"/>
  <c r="S544" i="1"/>
  <c r="R544" i="1"/>
  <c r="Q544" i="1"/>
  <c r="P544" i="1"/>
  <c r="V543" i="1"/>
  <c r="U543" i="1"/>
  <c r="T543" i="1"/>
  <c r="S543" i="1"/>
  <c r="R543" i="1"/>
  <c r="Q543" i="1"/>
  <c r="P543" i="1"/>
  <c r="V542" i="1"/>
  <c r="U542" i="1"/>
  <c r="T542" i="1"/>
  <c r="S542" i="1"/>
  <c r="R542" i="1"/>
  <c r="Q542" i="1"/>
  <c r="P542" i="1"/>
  <c r="V541" i="1"/>
  <c r="U541" i="1"/>
  <c r="T541" i="1"/>
  <c r="S541" i="1"/>
  <c r="R541" i="1"/>
  <c r="Q541" i="1"/>
  <c r="P541" i="1"/>
  <c r="V540" i="1"/>
  <c r="U540" i="1"/>
  <c r="T540" i="1"/>
  <c r="S540" i="1"/>
  <c r="R540" i="1"/>
  <c r="Q540" i="1"/>
  <c r="P540" i="1"/>
  <c r="V539" i="1"/>
  <c r="U539" i="1"/>
  <c r="T539" i="1"/>
  <c r="S539" i="1"/>
  <c r="R539" i="1"/>
  <c r="Q539" i="1"/>
  <c r="P539" i="1"/>
  <c r="V538" i="1"/>
  <c r="U538" i="1"/>
  <c r="T538" i="1"/>
  <c r="S538" i="1"/>
  <c r="R538" i="1"/>
  <c r="Q538" i="1"/>
  <c r="P538" i="1"/>
  <c r="V537" i="1"/>
  <c r="U537" i="1"/>
  <c r="T537" i="1"/>
  <c r="S537" i="1"/>
  <c r="R537" i="1"/>
  <c r="Q537" i="1"/>
  <c r="P537" i="1"/>
  <c r="V536" i="1"/>
  <c r="U536" i="1"/>
  <c r="T536" i="1"/>
  <c r="S536" i="1"/>
  <c r="R536" i="1"/>
  <c r="Q536" i="1"/>
  <c r="P536" i="1"/>
  <c r="V535" i="1"/>
  <c r="U535" i="1"/>
  <c r="T535" i="1"/>
  <c r="S535" i="1"/>
  <c r="R535" i="1"/>
  <c r="Q535" i="1"/>
  <c r="P535" i="1"/>
  <c r="V534" i="1"/>
  <c r="U534" i="1"/>
  <c r="T534" i="1"/>
  <c r="S534" i="1"/>
  <c r="R534" i="1"/>
  <c r="Q534" i="1"/>
  <c r="P534" i="1"/>
  <c r="V533" i="1"/>
  <c r="U533" i="1"/>
  <c r="T533" i="1"/>
  <c r="S533" i="1"/>
  <c r="R533" i="1"/>
  <c r="Q533" i="1"/>
  <c r="P533" i="1"/>
  <c r="V532" i="1"/>
  <c r="U532" i="1"/>
  <c r="T532" i="1"/>
  <c r="S532" i="1"/>
  <c r="R532" i="1"/>
  <c r="Q532" i="1"/>
  <c r="P532" i="1"/>
  <c r="V531" i="1"/>
  <c r="U531" i="1"/>
  <c r="T531" i="1"/>
  <c r="S531" i="1"/>
  <c r="R531" i="1"/>
  <c r="Q531" i="1"/>
  <c r="P531" i="1"/>
  <c r="V530" i="1"/>
  <c r="U530" i="1"/>
  <c r="T530" i="1"/>
  <c r="S530" i="1"/>
  <c r="R530" i="1"/>
  <c r="Q530" i="1"/>
  <c r="P530" i="1"/>
  <c r="V529" i="1"/>
  <c r="U529" i="1"/>
  <c r="T529" i="1"/>
  <c r="S529" i="1"/>
  <c r="R529" i="1"/>
  <c r="Q529" i="1"/>
  <c r="P529" i="1"/>
  <c r="V528" i="1"/>
  <c r="U528" i="1"/>
  <c r="T528" i="1"/>
  <c r="S528" i="1"/>
  <c r="R528" i="1"/>
  <c r="Q528" i="1"/>
  <c r="P528" i="1"/>
  <c r="V527" i="1"/>
  <c r="U527" i="1"/>
  <c r="T527" i="1"/>
  <c r="S527" i="1"/>
  <c r="R527" i="1"/>
  <c r="Q527" i="1"/>
  <c r="P527" i="1"/>
  <c r="V526" i="1"/>
  <c r="U526" i="1"/>
  <c r="T526" i="1"/>
  <c r="S526" i="1"/>
  <c r="R526" i="1"/>
  <c r="Q526" i="1"/>
  <c r="P526" i="1"/>
  <c r="V525" i="1"/>
  <c r="U525" i="1"/>
  <c r="T525" i="1"/>
  <c r="S525" i="1"/>
  <c r="R525" i="1"/>
  <c r="Q525" i="1"/>
  <c r="P525" i="1"/>
  <c r="V524" i="1"/>
  <c r="U524" i="1"/>
  <c r="T524" i="1"/>
  <c r="S524" i="1"/>
  <c r="R524" i="1"/>
  <c r="Q524" i="1"/>
  <c r="P524" i="1"/>
  <c r="V523" i="1"/>
  <c r="U523" i="1"/>
  <c r="T523" i="1"/>
  <c r="S523" i="1"/>
  <c r="R523" i="1"/>
  <c r="Q523" i="1"/>
  <c r="P523" i="1"/>
  <c r="V522" i="1"/>
  <c r="U522" i="1"/>
  <c r="T522" i="1"/>
  <c r="S522" i="1"/>
  <c r="R522" i="1"/>
  <c r="Q522" i="1"/>
  <c r="P522" i="1"/>
  <c r="V521" i="1"/>
  <c r="U521" i="1"/>
  <c r="T521" i="1"/>
  <c r="S521" i="1"/>
  <c r="R521" i="1"/>
  <c r="Q521" i="1"/>
  <c r="P521" i="1"/>
  <c r="V520" i="1"/>
  <c r="U520" i="1"/>
  <c r="T520" i="1"/>
  <c r="S520" i="1"/>
  <c r="R520" i="1"/>
  <c r="Q520" i="1"/>
  <c r="P520" i="1"/>
  <c r="V519" i="1"/>
  <c r="U519" i="1"/>
  <c r="T519" i="1"/>
  <c r="S519" i="1"/>
  <c r="R519" i="1"/>
  <c r="Q519" i="1"/>
  <c r="P519" i="1"/>
  <c r="V518" i="1"/>
  <c r="U518" i="1"/>
  <c r="T518" i="1"/>
  <c r="S518" i="1"/>
  <c r="R518" i="1"/>
  <c r="Q518" i="1"/>
  <c r="P518" i="1"/>
  <c r="V517" i="1"/>
  <c r="U517" i="1"/>
  <c r="T517" i="1"/>
  <c r="S517" i="1"/>
  <c r="R517" i="1"/>
  <c r="Q517" i="1"/>
  <c r="P517" i="1"/>
  <c r="V516" i="1"/>
  <c r="U516" i="1"/>
  <c r="T516" i="1"/>
  <c r="S516" i="1"/>
  <c r="R516" i="1"/>
  <c r="Q516" i="1"/>
  <c r="P516" i="1"/>
  <c r="V515" i="1"/>
  <c r="U515" i="1"/>
  <c r="T515" i="1"/>
  <c r="S515" i="1"/>
  <c r="R515" i="1"/>
  <c r="Q515" i="1"/>
  <c r="P515" i="1"/>
  <c r="V514" i="1"/>
  <c r="U514" i="1"/>
  <c r="T514" i="1"/>
  <c r="S514" i="1"/>
  <c r="R514" i="1"/>
  <c r="Q514" i="1"/>
  <c r="P514" i="1"/>
  <c r="V513" i="1"/>
  <c r="U513" i="1"/>
  <c r="T513" i="1"/>
  <c r="S513" i="1"/>
  <c r="R513" i="1"/>
  <c r="Q513" i="1"/>
  <c r="P513" i="1"/>
  <c r="V512" i="1"/>
  <c r="U512" i="1"/>
  <c r="T512" i="1"/>
  <c r="S512" i="1"/>
  <c r="R512" i="1"/>
  <c r="Q512" i="1"/>
  <c r="P512" i="1"/>
  <c r="V511" i="1"/>
  <c r="U511" i="1"/>
  <c r="T511" i="1"/>
  <c r="S511" i="1"/>
  <c r="R511" i="1"/>
  <c r="Q511" i="1"/>
  <c r="P511" i="1"/>
  <c r="V510" i="1"/>
  <c r="U510" i="1"/>
  <c r="T510" i="1"/>
  <c r="S510" i="1"/>
  <c r="R510" i="1"/>
  <c r="Q510" i="1"/>
  <c r="P510" i="1"/>
  <c r="V509" i="1"/>
  <c r="U509" i="1"/>
  <c r="T509" i="1"/>
  <c r="S509" i="1"/>
  <c r="R509" i="1"/>
  <c r="Q509" i="1"/>
  <c r="P509" i="1"/>
  <c r="V508" i="1"/>
  <c r="U508" i="1"/>
  <c r="T508" i="1"/>
  <c r="S508" i="1"/>
  <c r="R508" i="1"/>
  <c r="Q508" i="1"/>
  <c r="P508" i="1"/>
  <c r="V507" i="1"/>
  <c r="U507" i="1"/>
  <c r="T507" i="1"/>
  <c r="S507" i="1"/>
  <c r="R507" i="1"/>
  <c r="Q507" i="1"/>
  <c r="P507" i="1"/>
  <c r="V506" i="1"/>
  <c r="U506" i="1"/>
  <c r="T506" i="1"/>
  <c r="S506" i="1"/>
  <c r="R506" i="1"/>
  <c r="Q506" i="1"/>
  <c r="P506" i="1"/>
  <c r="V505" i="1"/>
  <c r="U505" i="1"/>
  <c r="T505" i="1"/>
  <c r="S505" i="1"/>
  <c r="R505" i="1"/>
  <c r="Q505" i="1"/>
  <c r="P505" i="1"/>
  <c r="V504" i="1"/>
  <c r="U504" i="1"/>
  <c r="T504" i="1"/>
  <c r="S504" i="1"/>
  <c r="R504" i="1"/>
  <c r="Q504" i="1"/>
  <c r="P504" i="1"/>
  <c r="V503" i="1"/>
  <c r="U503" i="1"/>
  <c r="T503" i="1"/>
  <c r="S503" i="1"/>
  <c r="R503" i="1"/>
  <c r="Q503" i="1"/>
  <c r="P503" i="1"/>
  <c r="V502" i="1"/>
  <c r="U502" i="1"/>
  <c r="T502" i="1"/>
  <c r="S502" i="1"/>
  <c r="R502" i="1"/>
  <c r="Q502" i="1"/>
  <c r="P502" i="1"/>
  <c r="V501" i="1"/>
  <c r="U501" i="1"/>
  <c r="T501" i="1"/>
  <c r="S501" i="1"/>
  <c r="R501" i="1"/>
  <c r="Q501" i="1"/>
  <c r="P501" i="1"/>
  <c r="V500" i="1"/>
  <c r="U500" i="1"/>
  <c r="T500" i="1"/>
  <c r="S500" i="1"/>
  <c r="R500" i="1"/>
  <c r="Q500" i="1"/>
  <c r="P500" i="1"/>
  <c r="V499" i="1"/>
  <c r="U499" i="1"/>
  <c r="T499" i="1"/>
  <c r="S499" i="1"/>
  <c r="R499" i="1"/>
  <c r="Q499" i="1"/>
  <c r="P499" i="1"/>
  <c r="V498" i="1"/>
  <c r="U498" i="1"/>
  <c r="T498" i="1"/>
  <c r="S498" i="1"/>
  <c r="R498" i="1"/>
  <c r="Q498" i="1"/>
  <c r="P498" i="1"/>
  <c r="V497" i="1"/>
  <c r="U497" i="1"/>
  <c r="T497" i="1"/>
  <c r="S497" i="1"/>
  <c r="R497" i="1"/>
  <c r="Q497" i="1"/>
  <c r="P497" i="1"/>
  <c r="V496" i="1"/>
  <c r="U496" i="1"/>
  <c r="T496" i="1"/>
  <c r="S496" i="1"/>
  <c r="R496" i="1"/>
  <c r="Q496" i="1"/>
  <c r="P496" i="1"/>
  <c r="V495" i="1"/>
  <c r="U495" i="1"/>
  <c r="T495" i="1"/>
  <c r="S495" i="1"/>
  <c r="R495" i="1"/>
  <c r="Q495" i="1"/>
  <c r="P495" i="1"/>
  <c r="V494" i="1"/>
  <c r="U494" i="1"/>
  <c r="T494" i="1"/>
  <c r="S494" i="1"/>
  <c r="R494" i="1"/>
  <c r="Q494" i="1"/>
  <c r="P494" i="1"/>
  <c r="V493" i="1"/>
  <c r="U493" i="1"/>
  <c r="T493" i="1"/>
  <c r="S493" i="1"/>
  <c r="R493" i="1"/>
  <c r="Q493" i="1"/>
  <c r="P493" i="1"/>
  <c r="V492" i="1"/>
  <c r="U492" i="1"/>
  <c r="T492" i="1"/>
  <c r="S492" i="1"/>
  <c r="R492" i="1"/>
  <c r="Q492" i="1"/>
  <c r="P492" i="1"/>
  <c r="V491" i="1"/>
  <c r="U491" i="1"/>
  <c r="T491" i="1"/>
  <c r="S491" i="1"/>
  <c r="R491" i="1"/>
  <c r="Q491" i="1"/>
  <c r="P491" i="1"/>
  <c r="V490" i="1"/>
  <c r="U490" i="1"/>
  <c r="T490" i="1"/>
  <c r="S490" i="1"/>
  <c r="R490" i="1"/>
  <c r="Q490" i="1"/>
  <c r="P490" i="1"/>
  <c r="V489" i="1"/>
  <c r="U489" i="1"/>
  <c r="T489" i="1"/>
  <c r="S489" i="1"/>
  <c r="R489" i="1"/>
  <c r="Q489" i="1"/>
  <c r="P489" i="1"/>
  <c r="V488" i="1"/>
  <c r="U488" i="1"/>
  <c r="T488" i="1"/>
  <c r="S488" i="1"/>
  <c r="R488" i="1"/>
  <c r="Q488" i="1"/>
  <c r="P488" i="1"/>
  <c r="V487" i="1"/>
  <c r="U487" i="1"/>
  <c r="T487" i="1"/>
  <c r="S487" i="1"/>
  <c r="R487" i="1"/>
  <c r="Q487" i="1"/>
  <c r="P487" i="1"/>
  <c r="V486" i="1"/>
  <c r="U486" i="1"/>
  <c r="T486" i="1"/>
  <c r="S486" i="1"/>
  <c r="R486" i="1"/>
  <c r="Q486" i="1"/>
  <c r="P486" i="1"/>
  <c r="V485" i="1"/>
  <c r="U485" i="1"/>
  <c r="T485" i="1"/>
  <c r="S485" i="1"/>
  <c r="R485" i="1"/>
  <c r="Q485" i="1"/>
  <c r="P485" i="1"/>
  <c r="V484" i="1"/>
  <c r="U484" i="1"/>
  <c r="T484" i="1"/>
  <c r="S484" i="1"/>
  <c r="R484" i="1"/>
  <c r="Q484" i="1"/>
  <c r="P484" i="1"/>
  <c r="V483" i="1"/>
  <c r="U483" i="1"/>
  <c r="T483" i="1"/>
  <c r="S483" i="1"/>
  <c r="R483" i="1"/>
  <c r="Q483" i="1"/>
  <c r="P483" i="1"/>
  <c r="V482" i="1"/>
  <c r="U482" i="1"/>
  <c r="T482" i="1"/>
  <c r="S482" i="1"/>
  <c r="R482" i="1"/>
  <c r="Q482" i="1"/>
  <c r="P482" i="1"/>
  <c r="V481" i="1"/>
  <c r="U481" i="1"/>
  <c r="T481" i="1"/>
  <c r="S481" i="1"/>
  <c r="R481" i="1"/>
  <c r="Q481" i="1"/>
  <c r="P481" i="1"/>
  <c r="V480" i="1"/>
  <c r="U480" i="1"/>
  <c r="T480" i="1"/>
  <c r="S480" i="1"/>
  <c r="R480" i="1"/>
  <c r="Q480" i="1"/>
  <c r="P480" i="1"/>
  <c r="V479" i="1"/>
  <c r="U479" i="1"/>
  <c r="T479" i="1"/>
  <c r="S479" i="1"/>
  <c r="R479" i="1"/>
  <c r="Q479" i="1"/>
  <c r="P479" i="1"/>
  <c r="V478" i="1"/>
  <c r="U478" i="1"/>
  <c r="T478" i="1"/>
  <c r="S478" i="1"/>
  <c r="R478" i="1"/>
  <c r="Q478" i="1"/>
  <c r="P478" i="1"/>
  <c r="V477" i="1"/>
  <c r="U477" i="1"/>
  <c r="T477" i="1"/>
  <c r="S477" i="1"/>
  <c r="R477" i="1"/>
  <c r="Q477" i="1"/>
  <c r="P477" i="1"/>
  <c r="V476" i="1"/>
  <c r="U476" i="1"/>
  <c r="T476" i="1"/>
  <c r="S476" i="1"/>
  <c r="R476" i="1"/>
  <c r="Q476" i="1"/>
  <c r="P476" i="1"/>
  <c r="V475" i="1"/>
  <c r="U475" i="1"/>
  <c r="T475" i="1"/>
  <c r="S475" i="1"/>
  <c r="R475" i="1"/>
  <c r="Q475" i="1"/>
  <c r="P475" i="1"/>
  <c r="V474" i="1"/>
  <c r="U474" i="1"/>
  <c r="T474" i="1"/>
  <c r="S474" i="1"/>
  <c r="R474" i="1"/>
  <c r="Q474" i="1"/>
  <c r="P474" i="1"/>
  <c r="V473" i="1"/>
  <c r="U473" i="1"/>
  <c r="T473" i="1"/>
  <c r="S473" i="1"/>
  <c r="R473" i="1"/>
  <c r="Q473" i="1"/>
  <c r="P473" i="1"/>
  <c r="V472" i="1"/>
  <c r="U472" i="1"/>
  <c r="T472" i="1"/>
  <c r="S472" i="1"/>
  <c r="R472" i="1"/>
  <c r="Q472" i="1"/>
  <c r="P472" i="1"/>
  <c r="V471" i="1"/>
  <c r="U471" i="1"/>
  <c r="T471" i="1"/>
  <c r="S471" i="1"/>
  <c r="R471" i="1"/>
  <c r="Q471" i="1"/>
  <c r="P471" i="1"/>
  <c r="V470" i="1"/>
  <c r="U470" i="1"/>
  <c r="T470" i="1"/>
  <c r="S470" i="1"/>
  <c r="R470" i="1"/>
  <c r="Q470" i="1"/>
  <c r="P470" i="1"/>
  <c r="V469" i="1"/>
  <c r="U469" i="1"/>
  <c r="T469" i="1"/>
  <c r="S469" i="1"/>
  <c r="R469" i="1"/>
  <c r="Q469" i="1"/>
  <c r="P469" i="1"/>
  <c r="V468" i="1"/>
  <c r="U468" i="1"/>
  <c r="T468" i="1"/>
  <c r="S468" i="1"/>
  <c r="R468" i="1"/>
  <c r="Q468" i="1"/>
  <c r="P468" i="1"/>
  <c r="V467" i="1"/>
  <c r="U467" i="1"/>
  <c r="T467" i="1"/>
  <c r="S467" i="1"/>
  <c r="R467" i="1"/>
  <c r="Q467" i="1"/>
  <c r="P467" i="1"/>
  <c r="V466" i="1"/>
  <c r="U466" i="1"/>
  <c r="T466" i="1"/>
  <c r="S466" i="1"/>
  <c r="R466" i="1"/>
  <c r="Q466" i="1"/>
  <c r="P466" i="1"/>
  <c r="V465" i="1"/>
  <c r="U465" i="1"/>
  <c r="T465" i="1"/>
  <c r="S465" i="1"/>
  <c r="R465" i="1"/>
  <c r="Q465" i="1"/>
  <c r="P465" i="1"/>
  <c r="V464" i="1"/>
  <c r="U464" i="1"/>
  <c r="T464" i="1"/>
  <c r="S464" i="1"/>
  <c r="R464" i="1"/>
  <c r="Q464" i="1"/>
  <c r="P464" i="1"/>
  <c r="V463" i="1"/>
  <c r="U463" i="1"/>
  <c r="T463" i="1"/>
  <c r="S463" i="1"/>
  <c r="R463" i="1"/>
  <c r="Q463" i="1"/>
  <c r="P463" i="1"/>
  <c r="V462" i="1"/>
  <c r="U462" i="1"/>
  <c r="T462" i="1"/>
  <c r="S462" i="1"/>
  <c r="R462" i="1"/>
  <c r="Q462" i="1"/>
  <c r="P462" i="1"/>
  <c r="V461" i="1"/>
  <c r="U461" i="1"/>
  <c r="T461" i="1"/>
  <c r="S461" i="1"/>
  <c r="R461" i="1"/>
  <c r="Q461" i="1"/>
  <c r="P461" i="1"/>
  <c r="V460" i="1"/>
  <c r="U460" i="1"/>
  <c r="T460" i="1"/>
  <c r="S460" i="1"/>
  <c r="R460" i="1"/>
  <c r="Q460" i="1"/>
  <c r="P460" i="1"/>
  <c r="V459" i="1"/>
  <c r="U459" i="1"/>
  <c r="T459" i="1"/>
  <c r="S459" i="1"/>
  <c r="R459" i="1"/>
  <c r="Q459" i="1"/>
  <c r="P459" i="1"/>
  <c r="V458" i="1"/>
  <c r="U458" i="1"/>
  <c r="T458" i="1"/>
  <c r="S458" i="1"/>
  <c r="R458" i="1"/>
  <c r="Q458" i="1"/>
  <c r="P458" i="1"/>
  <c r="V457" i="1"/>
  <c r="U457" i="1"/>
  <c r="T457" i="1"/>
  <c r="S457" i="1"/>
  <c r="R457" i="1"/>
  <c r="Q457" i="1"/>
  <c r="P457" i="1"/>
  <c r="V456" i="1"/>
  <c r="U456" i="1"/>
  <c r="T456" i="1"/>
  <c r="S456" i="1"/>
  <c r="R456" i="1"/>
  <c r="Q456" i="1"/>
  <c r="P456" i="1"/>
  <c r="V455" i="1"/>
  <c r="U455" i="1"/>
  <c r="T455" i="1"/>
  <c r="S455" i="1"/>
  <c r="R455" i="1"/>
  <c r="Q455" i="1"/>
  <c r="P455" i="1"/>
  <c r="V454" i="1"/>
  <c r="U454" i="1"/>
  <c r="T454" i="1"/>
  <c r="S454" i="1"/>
  <c r="R454" i="1"/>
  <c r="Q454" i="1"/>
  <c r="P454" i="1"/>
  <c r="V453" i="1"/>
  <c r="U453" i="1"/>
  <c r="T453" i="1"/>
  <c r="S453" i="1"/>
  <c r="R453" i="1"/>
  <c r="Q453" i="1"/>
  <c r="P453" i="1"/>
  <c r="V452" i="1"/>
  <c r="U452" i="1"/>
  <c r="T452" i="1"/>
  <c r="S452" i="1"/>
  <c r="R452" i="1"/>
  <c r="Q452" i="1"/>
  <c r="P452" i="1"/>
  <c r="V451" i="1"/>
  <c r="U451" i="1"/>
  <c r="T451" i="1"/>
  <c r="S451" i="1"/>
  <c r="R451" i="1"/>
  <c r="Q451" i="1"/>
  <c r="P451" i="1"/>
  <c r="V450" i="1"/>
  <c r="U450" i="1"/>
  <c r="T450" i="1"/>
  <c r="S450" i="1"/>
  <c r="R450" i="1"/>
  <c r="Q450" i="1"/>
  <c r="P450" i="1"/>
  <c r="V449" i="1"/>
  <c r="U449" i="1"/>
  <c r="T449" i="1"/>
  <c r="S449" i="1"/>
  <c r="R449" i="1"/>
  <c r="Q449" i="1"/>
  <c r="P449" i="1"/>
  <c r="V448" i="1"/>
  <c r="U448" i="1"/>
  <c r="T448" i="1"/>
  <c r="S448" i="1"/>
  <c r="R448" i="1"/>
  <c r="Q448" i="1"/>
  <c r="P448" i="1"/>
  <c r="V447" i="1"/>
  <c r="U447" i="1"/>
  <c r="T447" i="1"/>
  <c r="S447" i="1"/>
  <c r="R447" i="1"/>
  <c r="Q447" i="1"/>
  <c r="P447" i="1"/>
  <c r="V446" i="1"/>
  <c r="U446" i="1"/>
  <c r="T446" i="1"/>
  <c r="S446" i="1"/>
  <c r="R446" i="1"/>
  <c r="Q446" i="1"/>
  <c r="P446" i="1"/>
  <c r="V445" i="1"/>
  <c r="U445" i="1"/>
  <c r="T445" i="1"/>
  <c r="S445" i="1"/>
  <c r="R445" i="1"/>
  <c r="Q445" i="1"/>
  <c r="P445" i="1"/>
  <c r="V444" i="1"/>
  <c r="U444" i="1"/>
  <c r="T444" i="1"/>
  <c r="S444" i="1"/>
  <c r="R444" i="1"/>
  <c r="Q444" i="1"/>
  <c r="P444" i="1"/>
  <c r="V443" i="1"/>
  <c r="U443" i="1"/>
  <c r="T443" i="1"/>
  <c r="S443" i="1"/>
  <c r="R443" i="1"/>
  <c r="Q443" i="1"/>
  <c r="P443" i="1"/>
  <c r="V442" i="1"/>
  <c r="U442" i="1"/>
  <c r="T442" i="1"/>
  <c r="S442" i="1"/>
  <c r="R442" i="1"/>
  <c r="Q442" i="1"/>
  <c r="P442" i="1"/>
  <c r="V441" i="1"/>
  <c r="U441" i="1"/>
  <c r="T441" i="1"/>
  <c r="S441" i="1"/>
  <c r="R441" i="1"/>
  <c r="Q441" i="1"/>
  <c r="P441" i="1"/>
  <c r="V440" i="1"/>
  <c r="U440" i="1"/>
  <c r="T440" i="1"/>
  <c r="S440" i="1"/>
  <c r="R440" i="1"/>
  <c r="Q440" i="1"/>
  <c r="P440" i="1"/>
  <c r="V439" i="1"/>
  <c r="U439" i="1"/>
  <c r="T439" i="1"/>
  <c r="S439" i="1"/>
  <c r="R439" i="1"/>
  <c r="Q439" i="1"/>
  <c r="P439" i="1"/>
  <c r="V438" i="1"/>
  <c r="U438" i="1"/>
  <c r="T438" i="1"/>
  <c r="S438" i="1"/>
  <c r="R438" i="1"/>
  <c r="Q438" i="1"/>
  <c r="P438" i="1"/>
  <c r="V437" i="1"/>
  <c r="U437" i="1"/>
  <c r="T437" i="1"/>
  <c r="S437" i="1"/>
  <c r="R437" i="1"/>
  <c r="Q437" i="1"/>
  <c r="P437" i="1"/>
  <c r="V436" i="1"/>
  <c r="U436" i="1"/>
  <c r="T436" i="1"/>
  <c r="S436" i="1"/>
  <c r="R436" i="1"/>
  <c r="Q436" i="1"/>
  <c r="P436" i="1"/>
  <c r="V435" i="1"/>
  <c r="U435" i="1"/>
  <c r="T435" i="1"/>
  <c r="S435" i="1"/>
  <c r="R435" i="1"/>
  <c r="Q435" i="1"/>
  <c r="P435" i="1"/>
  <c r="V434" i="1"/>
  <c r="U434" i="1"/>
  <c r="T434" i="1"/>
  <c r="S434" i="1"/>
  <c r="R434" i="1"/>
  <c r="Q434" i="1"/>
  <c r="P434" i="1"/>
  <c r="V433" i="1"/>
  <c r="U433" i="1"/>
  <c r="T433" i="1"/>
  <c r="S433" i="1"/>
  <c r="R433" i="1"/>
  <c r="Q433" i="1"/>
  <c r="P433" i="1"/>
  <c r="V432" i="1"/>
  <c r="U432" i="1"/>
  <c r="T432" i="1"/>
  <c r="S432" i="1"/>
  <c r="R432" i="1"/>
  <c r="Q432" i="1"/>
  <c r="P432" i="1"/>
  <c r="V431" i="1"/>
  <c r="U431" i="1"/>
  <c r="T431" i="1"/>
  <c r="S431" i="1"/>
  <c r="R431" i="1"/>
  <c r="Q431" i="1"/>
  <c r="P431" i="1"/>
  <c r="V430" i="1"/>
  <c r="U430" i="1"/>
  <c r="T430" i="1"/>
  <c r="S430" i="1"/>
  <c r="R430" i="1"/>
  <c r="Q430" i="1"/>
  <c r="P430" i="1"/>
  <c r="V429" i="1"/>
  <c r="U429" i="1"/>
  <c r="T429" i="1"/>
  <c r="S429" i="1"/>
  <c r="R429" i="1"/>
  <c r="Q429" i="1"/>
  <c r="P429" i="1"/>
  <c r="V428" i="1"/>
  <c r="U428" i="1"/>
  <c r="T428" i="1"/>
  <c r="S428" i="1"/>
  <c r="R428" i="1"/>
  <c r="Q428" i="1"/>
  <c r="P428" i="1"/>
  <c r="V427" i="1"/>
  <c r="U427" i="1"/>
  <c r="T427" i="1"/>
  <c r="S427" i="1"/>
  <c r="R427" i="1"/>
  <c r="Q427" i="1"/>
  <c r="P427" i="1"/>
  <c r="V426" i="1"/>
  <c r="U426" i="1"/>
  <c r="T426" i="1"/>
  <c r="S426" i="1"/>
  <c r="R426" i="1"/>
  <c r="Q426" i="1"/>
  <c r="P426" i="1"/>
  <c r="V425" i="1"/>
  <c r="U425" i="1"/>
  <c r="T425" i="1"/>
  <c r="S425" i="1"/>
  <c r="R425" i="1"/>
  <c r="Q425" i="1"/>
  <c r="P425" i="1"/>
  <c r="V424" i="1"/>
  <c r="U424" i="1"/>
  <c r="T424" i="1"/>
  <c r="S424" i="1"/>
  <c r="R424" i="1"/>
  <c r="Q424" i="1"/>
  <c r="P424" i="1"/>
  <c r="V423" i="1"/>
  <c r="U423" i="1"/>
  <c r="T423" i="1"/>
  <c r="S423" i="1"/>
  <c r="R423" i="1"/>
  <c r="Q423" i="1"/>
  <c r="P423" i="1"/>
  <c r="V422" i="1"/>
  <c r="U422" i="1"/>
  <c r="T422" i="1"/>
  <c r="S422" i="1"/>
  <c r="R422" i="1"/>
  <c r="Q422" i="1"/>
  <c r="P422" i="1"/>
  <c r="V421" i="1"/>
  <c r="U421" i="1"/>
  <c r="T421" i="1"/>
  <c r="S421" i="1"/>
  <c r="R421" i="1"/>
  <c r="Q421" i="1"/>
  <c r="P421" i="1"/>
  <c r="V420" i="1"/>
  <c r="U420" i="1"/>
  <c r="T420" i="1"/>
  <c r="S420" i="1"/>
  <c r="R420" i="1"/>
  <c r="Q420" i="1"/>
  <c r="P420" i="1"/>
  <c r="V419" i="1"/>
  <c r="U419" i="1"/>
  <c r="T419" i="1"/>
  <c r="S419" i="1"/>
  <c r="R419" i="1"/>
  <c r="Q419" i="1"/>
  <c r="P419" i="1"/>
  <c r="V418" i="1"/>
  <c r="U418" i="1"/>
  <c r="T418" i="1"/>
  <c r="S418" i="1"/>
  <c r="R418" i="1"/>
  <c r="Q418" i="1"/>
  <c r="P418" i="1"/>
  <c r="V417" i="1"/>
  <c r="U417" i="1"/>
  <c r="T417" i="1"/>
  <c r="S417" i="1"/>
  <c r="R417" i="1"/>
  <c r="Q417" i="1"/>
  <c r="P417" i="1"/>
  <c r="V416" i="1"/>
  <c r="U416" i="1"/>
  <c r="T416" i="1"/>
  <c r="S416" i="1"/>
  <c r="R416" i="1"/>
  <c r="Q416" i="1"/>
  <c r="P416" i="1"/>
  <c r="V415" i="1"/>
  <c r="U415" i="1"/>
  <c r="T415" i="1"/>
  <c r="S415" i="1"/>
  <c r="R415" i="1"/>
  <c r="Q415" i="1"/>
  <c r="P415" i="1"/>
  <c r="V414" i="1"/>
  <c r="U414" i="1"/>
  <c r="T414" i="1"/>
  <c r="S414" i="1"/>
  <c r="R414" i="1"/>
  <c r="Q414" i="1"/>
  <c r="P414" i="1"/>
  <c r="V413" i="1"/>
  <c r="U413" i="1"/>
  <c r="T413" i="1"/>
  <c r="S413" i="1"/>
  <c r="R413" i="1"/>
  <c r="Q413" i="1"/>
  <c r="P413" i="1"/>
  <c r="V412" i="1"/>
  <c r="U412" i="1"/>
  <c r="T412" i="1"/>
  <c r="S412" i="1"/>
  <c r="R412" i="1"/>
  <c r="Q412" i="1"/>
  <c r="P412" i="1"/>
  <c r="V411" i="1"/>
  <c r="U411" i="1"/>
  <c r="T411" i="1"/>
  <c r="S411" i="1"/>
  <c r="R411" i="1"/>
  <c r="Q411" i="1"/>
  <c r="P411" i="1"/>
  <c r="V410" i="1"/>
  <c r="U410" i="1"/>
  <c r="T410" i="1"/>
  <c r="S410" i="1"/>
  <c r="R410" i="1"/>
  <c r="Q410" i="1"/>
  <c r="P410" i="1"/>
  <c r="V409" i="1"/>
  <c r="U409" i="1"/>
  <c r="T409" i="1"/>
  <c r="S409" i="1"/>
  <c r="R409" i="1"/>
  <c r="Q409" i="1"/>
  <c r="P409" i="1"/>
  <c r="V408" i="1"/>
  <c r="U408" i="1"/>
  <c r="T408" i="1"/>
  <c r="S408" i="1"/>
  <c r="R408" i="1"/>
  <c r="Q408" i="1"/>
  <c r="P408" i="1"/>
  <c r="V407" i="1"/>
  <c r="U407" i="1"/>
  <c r="T407" i="1"/>
  <c r="S407" i="1"/>
  <c r="R407" i="1"/>
  <c r="Q407" i="1"/>
  <c r="P407" i="1"/>
  <c r="V406" i="1"/>
  <c r="U406" i="1"/>
  <c r="T406" i="1"/>
  <c r="S406" i="1"/>
  <c r="R406" i="1"/>
  <c r="Q406" i="1"/>
  <c r="P406" i="1"/>
  <c r="V405" i="1"/>
  <c r="U405" i="1"/>
  <c r="T405" i="1"/>
  <c r="S405" i="1"/>
  <c r="R405" i="1"/>
  <c r="Q405" i="1"/>
  <c r="P405" i="1"/>
  <c r="V404" i="1"/>
  <c r="U404" i="1"/>
  <c r="T404" i="1"/>
  <c r="S404" i="1"/>
  <c r="R404" i="1"/>
  <c r="Q404" i="1"/>
  <c r="P404" i="1"/>
  <c r="V403" i="1"/>
  <c r="U403" i="1"/>
  <c r="T403" i="1"/>
  <c r="S403" i="1"/>
  <c r="R403" i="1"/>
  <c r="Q403" i="1"/>
  <c r="P403" i="1"/>
  <c r="V402" i="1"/>
  <c r="U402" i="1"/>
  <c r="T402" i="1"/>
  <c r="S402" i="1"/>
  <c r="R402" i="1"/>
  <c r="Q402" i="1"/>
  <c r="P402" i="1"/>
  <c r="V401" i="1"/>
  <c r="U401" i="1"/>
  <c r="T401" i="1"/>
  <c r="S401" i="1"/>
  <c r="R401" i="1"/>
  <c r="Q401" i="1"/>
  <c r="P401" i="1"/>
  <c r="V400" i="1"/>
  <c r="U400" i="1"/>
  <c r="T400" i="1"/>
  <c r="S400" i="1"/>
  <c r="R400" i="1"/>
  <c r="Q400" i="1"/>
  <c r="P400" i="1"/>
  <c r="V399" i="1"/>
  <c r="U399" i="1"/>
  <c r="T399" i="1"/>
  <c r="S399" i="1"/>
  <c r="R399" i="1"/>
  <c r="Q399" i="1"/>
  <c r="P399" i="1"/>
  <c r="V398" i="1"/>
  <c r="U398" i="1"/>
  <c r="T398" i="1"/>
  <c r="S398" i="1"/>
  <c r="R398" i="1"/>
  <c r="Q398" i="1"/>
  <c r="P398" i="1"/>
  <c r="V397" i="1"/>
  <c r="U397" i="1"/>
  <c r="T397" i="1"/>
  <c r="S397" i="1"/>
  <c r="R397" i="1"/>
  <c r="Q397" i="1"/>
  <c r="P397" i="1"/>
  <c r="V396" i="1"/>
  <c r="U396" i="1"/>
  <c r="T396" i="1"/>
  <c r="S396" i="1"/>
  <c r="R396" i="1"/>
  <c r="Q396" i="1"/>
  <c r="P396" i="1"/>
  <c r="V395" i="1"/>
  <c r="U395" i="1"/>
  <c r="T395" i="1"/>
  <c r="S395" i="1"/>
  <c r="R395" i="1"/>
  <c r="Q395" i="1"/>
  <c r="P395" i="1"/>
  <c r="V394" i="1"/>
  <c r="U394" i="1"/>
  <c r="T394" i="1"/>
  <c r="S394" i="1"/>
  <c r="R394" i="1"/>
  <c r="Q394" i="1"/>
  <c r="P394" i="1"/>
  <c r="V393" i="1"/>
  <c r="U393" i="1"/>
  <c r="T393" i="1"/>
  <c r="S393" i="1"/>
  <c r="R393" i="1"/>
  <c r="Q393" i="1"/>
  <c r="P393" i="1"/>
  <c r="V392" i="1"/>
  <c r="U392" i="1"/>
  <c r="T392" i="1"/>
  <c r="S392" i="1"/>
  <c r="R392" i="1"/>
  <c r="Q392" i="1"/>
  <c r="P392" i="1"/>
  <c r="V391" i="1"/>
  <c r="U391" i="1"/>
  <c r="T391" i="1"/>
  <c r="S391" i="1"/>
  <c r="R391" i="1"/>
  <c r="Q391" i="1"/>
  <c r="P391" i="1"/>
  <c r="V390" i="1"/>
  <c r="U390" i="1"/>
  <c r="T390" i="1"/>
  <c r="S390" i="1"/>
  <c r="R390" i="1"/>
  <c r="Q390" i="1"/>
  <c r="P390" i="1"/>
  <c r="V389" i="1"/>
  <c r="U389" i="1"/>
  <c r="T389" i="1"/>
  <c r="S389" i="1"/>
  <c r="R389" i="1"/>
  <c r="Q389" i="1"/>
  <c r="P389" i="1"/>
  <c r="V388" i="1"/>
  <c r="U388" i="1"/>
  <c r="T388" i="1"/>
  <c r="S388" i="1"/>
  <c r="R388" i="1"/>
  <c r="Q388" i="1"/>
  <c r="P388" i="1"/>
  <c r="V387" i="1"/>
  <c r="U387" i="1"/>
  <c r="T387" i="1"/>
  <c r="S387" i="1"/>
  <c r="R387" i="1"/>
  <c r="Q387" i="1"/>
  <c r="P387" i="1"/>
  <c r="V386" i="1"/>
  <c r="U386" i="1"/>
  <c r="T386" i="1"/>
  <c r="S386" i="1"/>
  <c r="R386" i="1"/>
  <c r="Q386" i="1"/>
  <c r="P386" i="1"/>
  <c r="V385" i="1"/>
  <c r="U385" i="1"/>
  <c r="T385" i="1"/>
  <c r="S385" i="1"/>
  <c r="R385" i="1"/>
  <c r="Q385" i="1"/>
  <c r="P385" i="1"/>
  <c r="V384" i="1"/>
  <c r="U384" i="1"/>
  <c r="T384" i="1"/>
  <c r="S384" i="1"/>
  <c r="R384" i="1"/>
  <c r="Q384" i="1"/>
  <c r="P384" i="1"/>
  <c r="V383" i="1"/>
  <c r="U383" i="1"/>
  <c r="T383" i="1"/>
  <c r="S383" i="1"/>
  <c r="R383" i="1"/>
  <c r="Q383" i="1"/>
  <c r="P383" i="1"/>
  <c r="V382" i="1"/>
  <c r="U382" i="1"/>
  <c r="T382" i="1"/>
  <c r="S382" i="1"/>
  <c r="R382" i="1"/>
  <c r="Q382" i="1"/>
  <c r="P382" i="1"/>
  <c r="V381" i="1"/>
  <c r="U381" i="1"/>
  <c r="T381" i="1"/>
  <c r="S381" i="1"/>
  <c r="R381" i="1"/>
  <c r="Q381" i="1"/>
  <c r="P381" i="1"/>
  <c r="V380" i="1"/>
  <c r="U380" i="1"/>
  <c r="T380" i="1"/>
  <c r="S380" i="1"/>
  <c r="R380" i="1"/>
  <c r="Q380" i="1"/>
  <c r="P380" i="1"/>
  <c r="V379" i="1"/>
  <c r="U379" i="1"/>
  <c r="T379" i="1"/>
  <c r="S379" i="1"/>
  <c r="R379" i="1"/>
  <c r="Q379" i="1"/>
  <c r="P379" i="1"/>
  <c r="V378" i="1"/>
  <c r="U378" i="1"/>
  <c r="T378" i="1"/>
  <c r="S378" i="1"/>
  <c r="R378" i="1"/>
  <c r="Q378" i="1"/>
  <c r="P378" i="1"/>
  <c r="V377" i="1"/>
  <c r="U377" i="1"/>
  <c r="T377" i="1"/>
  <c r="S377" i="1"/>
  <c r="R377" i="1"/>
  <c r="Q377" i="1"/>
  <c r="P377" i="1"/>
  <c r="V376" i="1"/>
  <c r="U376" i="1"/>
  <c r="T376" i="1"/>
  <c r="S376" i="1"/>
  <c r="R376" i="1"/>
  <c r="Q376" i="1"/>
  <c r="P376" i="1"/>
  <c r="V375" i="1"/>
  <c r="U375" i="1"/>
  <c r="T375" i="1"/>
  <c r="S375" i="1"/>
  <c r="R375" i="1"/>
  <c r="Q375" i="1"/>
  <c r="P375" i="1"/>
  <c r="V374" i="1"/>
  <c r="U374" i="1"/>
  <c r="T374" i="1"/>
  <c r="S374" i="1"/>
  <c r="R374" i="1"/>
  <c r="Q374" i="1"/>
  <c r="P374" i="1"/>
  <c r="V373" i="1"/>
  <c r="U373" i="1"/>
  <c r="T373" i="1"/>
  <c r="S373" i="1"/>
  <c r="R373" i="1"/>
  <c r="Q373" i="1"/>
  <c r="P373" i="1"/>
  <c r="V372" i="1"/>
  <c r="U372" i="1"/>
  <c r="T372" i="1"/>
  <c r="S372" i="1"/>
  <c r="R372" i="1"/>
  <c r="Q372" i="1"/>
  <c r="P372" i="1"/>
  <c r="V371" i="1"/>
  <c r="U371" i="1"/>
  <c r="T371" i="1"/>
  <c r="S371" i="1"/>
  <c r="R371" i="1"/>
  <c r="Q371" i="1"/>
  <c r="P371" i="1"/>
  <c r="V370" i="1"/>
  <c r="U370" i="1"/>
  <c r="T370" i="1"/>
  <c r="S370" i="1"/>
  <c r="R370" i="1"/>
  <c r="Q370" i="1"/>
  <c r="P370" i="1"/>
  <c r="V369" i="1"/>
  <c r="U369" i="1"/>
  <c r="T369" i="1"/>
  <c r="S369" i="1"/>
  <c r="R369" i="1"/>
  <c r="Q369" i="1"/>
  <c r="P369" i="1"/>
  <c r="V368" i="1"/>
  <c r="U368" i="1"/>
  <c r="T368" i="1"/>
  <c r="S368" i="1"/>
  <c r="R368" i="1"/>
  <c r="Q368" i="1"/>
  <c r="P368" i="1"/>
  <c r="V367" i="1"/>
  <c r="U367" i="1"/>
  <c r="T367" i="1"/>
  <c r="S367" i="1"/>
  <c r="R367" i="1"/>
  <c r="Q367" i="1"/>
  <c r="P367" i="1"/>
  <c r="V366" i="1"/>
  <c r="U366" i="1"/>
  <c r="T366" i="1"/>
  <c r="S366" i="1"/>
  <c r="R366" i="1"/>
  <c r="Q366" i="1"/>
  <c r="P366" i="1"/>
  <c r="V365" i="1"/>
  <c r="U365" i="1"/>
  <c r="T365" i="1"/>
  <c r="S365" i="1"/>
  <c r="R365" i="1"/>
  <c r="Q365" i="1"/>
  <c r="P365" i="1"/>
  <c r="V364" i="1"/>
  <c r="U364" i="1"/>
  <c r="T364" i="1"/>
  <c r="S364" i="1"/>
  <c r="R364" i="1"/>
  <c r="Q364" i="1"/>
  <c r="P364" i="1"/>
  <c r="V363" i="1"/>
  <c r="U363" i="1"/>
  <c r="T363" i="1"/>
  <c r="S363" i="1"/>
  <c r="R363" i="1"/>
  <c r="Q363" i="1"/>
  <c r="P363" i="1"/>
  <c r="V362" i="1"/>
  <c r="U362" i="1"/>
  <c r="T362" i="1"/>
  <c r="S362" i="1"/>
  <c r="R362" i="1"/>
  <c r="Q362" i="1"/>
  <c r="P362" i="1"/>
  <c r="V361" i="1"/>
  <c r="U361" i="1"/>
  <c r="T361" i="1"/>
  <c r="S361" i="1"/>
  <c r="R361" i="1"/>
  <c r="Q361" i="1"/>
  <c r="P361" i="1"/>
  <c r="V360" i="1"/>
  <c r="U360" i="1"/>
  <c r="T360" i="1"/>
  <c r="S360" i="1"/>
  <c r="R360" i="1"/>
  <c r="Q360" i="1"/>
  <c r="P360" i="1"/>
  <c r="V359" i="1"/>
  <c r="U359" i="1"/>
  <c r="T359" i="1"/>
  <c r="S359" i="1"/>
  <c r="R359" i="1"/>
  <c r="Q359" i="1"/>
  <c r="P359" i="1"/>
  <c r="V358" i="1"/>
  <c r="U358" i="1"/>
  <c r="T358" i="1"/>
  <c r="S358" i="1"/>
  <c r="R358" i="1"/>
  <c r="Q358" i="1"/>
  <c r="P358" i="1"/>
  <c r="V357" i="1"/>
  <c r="U357" i="1"/>
  <c r="T357" i="1"/>
  <c r="S357" i="1"/>
  <c r="R357" i="1"/>
  <c r="Q357" i="1"/>
  <c r="P357" i="1"/>
  <c r="V356" i="1"/>
  <c r="U356" i="1"/>
  <c r="T356" i="1"/>
  <c r="S356" i="1"/>
  <c r="R356" i="1"/>
  <c r="Q356" i="1"/>
  <c r="P356" i="1"/>
  <c r="V355" i="1"/>
  <c r="U355" i="1"/>
  <c r="T355" i="1"/>
  <c r="S355" i="1"/>
  <c r="R355" i="1"/>
  <c r="Q355" i="1"/>
  <c r="P355" i="1"/>
  <c r="V354" i="1"/>
  <c r="U354" i="1"/>
  <c r="T354" i="1"/>
  <c r="S354" i="1"/>
  <c r="R354" i="1"/>
  <c r="Q354" i="1"/>
  <c r="P354" i="1"/>
  <c r="V353" i="1"/>
  <c r="U353" i="1"/>
  <c r="T353" i="1"/>
  <c r="S353" i="1"/>
  <c r="R353" i="1"/>
  <c r="Q353" i="1"/>
  <c r="P353" i="1"/>
  <c r="V352" i="1"/>
  <c r="U352" i="1"/>
  <c r="T352" i="1"/>
  <c r="S352" i="1"/>
  <c r="R352" i="1"/>
  <c r="Q352" i="1"/>
  <c r="P352" i="1"/>
  <c r="V351" i="1"/>
  <c r="U351" i="1"/>
  <c r="T351" i="1"/>
  <c r="S351" i="1"/>
  <c r="R351" i="1"/>
  <c r="Q351" i="1"/>
  <c r="P351" i="1"/>
  <c r="V350" i="1"/>
  <c r="U350" i="1"/>
  <c r="T350" i="1"/>
  <c r="S350" i="1"/>
  <c r="R350" i="1"/>
  <c r="Q350" i="1"/>
  <c r="P350" i="1"/>
  <c r="V349" i="1"/>
  <c r="U349" i="1"/>
  <c r="T349" i="1"/>
  <c r="S349" i="1"/>
  <c r="R349" i="1"/>
  <c r="Q349" i="1"/>
  <c r="P349" i="1"/>
  <c r="V348" i="1"/>
  <c r="U348" i="1"/>
  <c r="T348" i="1"/>
  <c r="S348" i="1"/>
  <c r="R348" i="1"/>
  <c r="Q348" i="1"/>
  <c r="P348" i="1"/>
  <c r="V347" i="1"/>
  <c r="U347" i="1"/>
  <c r="T347" i="1"/>
  <c r="S347" i="1"/>
  <c r="R347" i="1"/>
  <c r="Q347" i="1"/>
  <c r="P347" i="1"/>
  <c r="V346" i="1"/>
  <c r="U346" i="1"/>
  <c r="T346" i="1"/>
  <c r="S346" i="1"/>
  <c r="R346" i="1"/>
  <c r="Q346" i="1"/>
  <c r="P346" i="1"/>
  <c r="V345" i="1"/>
  <c r="U345" i="1"/>
  <c r="T345" i="1"/>
  <c r="S345" i="1"/>
  <c r="R345" i="1"/>
  <c r="Q345" i="1"/>
  <c r="P345" i="1"/>
  <c r="V344" i="1"/>
  <c r="U344" i="1"/>
  <c r="T344" i="1"/>
  <c r="S344" i="1"/>
  <c r="R344" i="1"/>
  <c r="Q344" i="1"/>
  <c r="P344" i="1"/>
  <c r="V343" i="1"/>
  <c r="U343" i="1"/>
  <c r="T343" i="1"/>
  <c r="S343" i="1"/>
  <c r="R343" i="1"/>
  <c r="Q343" i="1"/>
  <c r="P343" i="1"/>
  <c r="V342" i="1"/>
  <c r="U342" i="1"/>
  <c r="T342" i="1"/>
  <c r="S342" i="1"/>
  <c r="R342" i="1"/>
  <c r="Q342" i="1"/>
  <c r="P342" i="1"/>
  <c r="V341" i="1"/>
  <c r="U341" i="1"/>
  <c r="T341" i="1"/>
  <c r="S341" i="1"/>
  <c r="R341" i="1"/>
  <c r="Q341" i="1"/>
  <c r="P341" i="1"/>
  <c r="V340" i="1"/>
  <c r="U340" i="1"/>
  <c r="T340" i="1"/>
  <c r="S340" i="1"/>
  <c r="R340" i="1"/>
  <c r="Q340" i="1"/>
  <c r="P340" i="1"/>
  <c r="V339" i="1"/>
  <c r="U339" i="1"/>
  <c r="T339" i="1"/>
  <c r="S339" i="1"/>
  <c r="R339" i="1"/>
  <c r="Q339" i="1"/>
  <c r="P339" i="1"/>
  <c r="V338" i="1"/>
  <c r="U338" i="1"/>
  <c r="T338" i="1"/>
  <c r="S338" i="1"/>
  <c r="R338" i="1"/>
  <c r="Q338" i="1"/>
  <c r="P338" i="1"/>
  <c r="V337" i="1"/>
  <c r="U337" i="1"/>
  <c r="T337" i="1"/>
  <c r="S337" i="1"/>
  <c r="R337" i="1"/>
  <c r="Q337" i="1"/>
  <c r="P337" i="1"/>
  <c r="V336" i="1"/>
  <c r="U336" i="1"/>
  <c r="T336" i="1"/>
  <c r="S336" i="1"/>
  <c r="R336" i="1"/>
  <c r="Q336" i="1"/>
  <c r="P336" i="1"/>
  <c r="V335" i="1"/>
  <c r="U335" i="1"/>
  <c r="T335" i="1"/>
  <c r="S335" i="1"/>
  <c r="R335" i="1"/>
  <c r="Q335" i="1"/>
  <c r="P335" i="1"/>
  <c r="V334" i="1"/>
  <c r="U334" i="1"/>
  <c r="T334" i="1"/>
  <c r="S334" i="1"/>
  <c r="R334" i="1"/>
  <c r="Q334" i="1"/>
  <c r="P334" i="1"/>
  <c r="V333" i="1"/>
  <c r="U333" i="1"/>
  <c r="T333" i="1"/>
  <c r="S333" i="1"/>
  <c r="R333" i="1"/>
  <c r="Q333" i="1"/>
  <c r="P333" i="1"/>
  <c r="V332" i="1"/>
  <c r="U332" i="1"/>
  <c r="T332" i="1"/>
  <c r="S332" i="1"/>
  <c r="R332" i="1"/>
  <c r="Q332" i="1"/>
  <c r="P332" i="1"/>
  <c r="V331" i="1"/>
  <c r="U331" i="1"/>
  <c r="T331" i="1"/>
  <c r="S331" i="1"/>
  <c r="R331" i="1"/>
  <c r="Q331" i="1"/>
  <c r="P331" i="1"/>
  <c r="V330" i="1"/>
  <c r="U330" i="1"/>
  <c r="T330" i="1"/>
  <c r="S330" i="1"/>
  <c r="R330" i="1"/>
  <c r="Q330" i="1"/>
  <c r="P330" i="1"/>
  <c r="V329" i="1"/>
  <c r="U329" i="1"/>
  <c r="T329" i="1"/>
  <c r="S329" i="1"/>
  <c r="R329" i="1"/>
  <c r="Q329" i="1"/>
  <c r="P329" i="1"/>
  <c r="V328" i="1"/>
  <c r="U328" i="1"/>
  <c r="T328" i="1"/>
  <c r="S328" i="1"/>
  <c r="R328" i="1"/>
  <c r="Q328" i="1"/>
  <c r="P328" i="1"/>
  <c r="V327" i="1"/>
  <c r="U327" i="1"/>
  <c r="T327" i="1"/>
  <c r="S327" i="1"/>
  <c r="R327" i="1"/>
  <c r="Q327" i="1"/>
  <c r="P327" i="1"/>
  <c r="V326" i="1"/>
  <c r="U326" i="1"/>
  <c r="T326" i="1"/>
  <c r="S326" i="1"/>
  <c r="R326" i="1"/>
  <c r="Q326" i="1"/>
  <c r="P326" i="1"/>
  <c r="V325" i="1"/>
  <c r="U325" i="1"/>
  <c r="T325" i="1"/>
  <c r="S325" i="1"/>
  <c r="R325" i="1"/>
  <c r="Q325" i="1"/>
  <c r="P325" i="1"/>
  <c r="V324" i="1"/>
  <c r="U324" i="1"/>
  <c r="T324" i="1"/>
  <c r="S324" i="1"/>
  <c r="R324" i="1"/>
  <c r="Q324" i="1"/>
  <c r="P324" i="1"/>
  <c r="V323" i="1"/>
  <c r="U323" i="1"/>
  <c r="T323" i="1"/>
  <c r="S323" i="1"/>
  <c r="R323" i="1"/>
  <c r="Q323" i="1"/>
  <c r="P323" i="1"/>
  <c r="V322" i="1"/>
  <c r="U322" i="1"/>
  <c r="T322" i="1"/>
  <c r="S322" i="1"/>
  <c r="R322" i="1"/>
  <c r="Q322" i="1"/>
  <c r="P322" i="1"/>
  <c r="V321" i="1"/>
  <c r="U321" i="1"/>
  <c r="T321" i="1"/>
  <c r="S321" i="1"/>
  <c r="R321" i="1"/>
  <c r="Q321" i="1"/>
  <c r="P321" i="1"/>
  <c r="V320" i="1"/>
  <c r="U320" i="1"/>
  <c r="T320" i="1"/>
  <c r="S320" i="1"/>
  <c r="R320" i="1"/>
  <c r="Q320" i="1"/>
  <c r="P320" i="1"/>
  <c r="V319" i="1"/>
  <c r="U319" i="1"/>
  <c r="T319" i="1"/>
  <c r="S319" i="1"/>
  <c r="R319" i="1"/>
  <c r="Q319" i="1"/>
  <c r="P319" i="1"/>
  <c r="V318" i="1"/>
  <c r="U318" i="1"/>
  <c r="T318" i="1"/>
  <c r="S318" i="1"/>
  <c r="R318" i="1"/>
  <c r="Q318" i="1"/>
  <c r="P318" i="1"/>
  <c r="V317" i="1"/>
  <c r="U317" i="1"/>
  <c r="T317" i="1"/>
  <c r="S317" i="1"/>
  <c r="R317" i="1"/>
  <c r="Q317" i="1"/>
  <c r="P317" i="1"/>
  <c r="V316" i="1"/>
  <c r="U316" i="1"/>
  <c r="T316" i="1"/>
  <c r="S316" i="1"/>
  <c r="R316" i="1"/>
  <c r="Q316" i="1"/>
  <c r="P316" i="1"/>
  <c r="V315" i="1"/>
  <c r="U315" i="1"/>
  <c r="T315" i="1"/>
  <c r="S315" i="1"/>
  <c r="R315" i="1"/>
  <c r="Q315" i="1"/>
  <c r="P315" i="1"/>
  <c r="V314" i="1"/>
  <c r="U314" i="1"/>
  <c r="T314" i="1"/>
  <c r="S314" i="1"/>
  <c r="R314" i="1"/>
  <c r="Q314" i="1"/>
  <c r="P314" i="1"/>
  <c r="V313" i="1"/>
  <c r="U313" i="1"/>
  <c r="T313" i="1"/>
  <c r="S313" i="1"/>
  <c r="R313" i="1"/>
  <c r="Q313" i="1"/>
  <c r="P313" i="1"/>
  <c r="V312" i="1"/>
  <c r="U312" i="1"/>
  <c r="T312" i="1"/>
  <c r="S312" i="1"/>
  <c r="R312" i="1"/>
  <c r="Q312" i="1"/>
  <c r="P312" i="1"/>
  <c r="V311" i="1"/>
  <c r="U311" i="1"/>
  <c r="T311" i="1"/>
  <c r="S311" i="1"/>
  <c r="R311" i="1"/>
  <c r="Q311" i="1"/>
  <c r="P311" i="1"/>
  <c r="V310" i="1"/>
  <c r="U310" i="1"/>
  <c r="T310" i="1"/>
  <c r="S310" i="1"/>
  <c r="R310" i="1"/>
  <c r="Q310" i="1"/>
  <c r="P310" i="1"/>
  <c r="V309" i="1"/>
  <c r="U309" i="1"/>
  <c r="T309" i="1"/>
  <c r="S309" i="1"/>
  <c r="R309" i="1"/>
  <c r="Q309" i="1"/>
  <c r="P309" i="1"/>
  <c r="V308" i="1"/>
  <c r="U308" i="1"/>
  <c r="T308" i="1"/>
  <c r="S308" i="1"/>
  <c r="R308" i="1"/>
  <c r="Q308" i="1"/>
  <c r="P308" i="1"/>
  <c r="V307" i="1"/>
  <c r="U307" i="1"/>
  <c r="T307" i="1"/>
  <c r="S307" i="1"/>
  <c r="R307" i="1"/>
  <c r="Q307" i="1"/>
  <c r="P307" i="1"/>
  <c r="V306" i="1"/>
  <c r="U306" i="1"/>
  <c r="T306" i="1"/>
  <c r="S306" i="1"/>
  <c r="R306" i="1"/>
  <c r="Q306" i="1"/>
  <c r="P306" i="1"/>
  <c r="V305" i="1"/>
  <c r="U305" i="1"/>
  <c r="T305" i="1"/>
  <c r="S305" i="1"/>
  <c r="R305" i="1"/>
  <c r="Q305" i="1"/>
  <c r="P305" i="1"/>
  <c r="V304" i="1"/>
  <c r="U304" i="1"/>
  <c r="T304" i="1"/>
  <c r="S304" i="1"/>
  <c r="R304" i="1"/>
  <c r="Q304" i="1"/>
  <c r="P304" i="1"/>
  <c r="V303" i="1"/>
  <c r="U303" i="1"/>
  <c r="T303" i="1"/>
  <c r="S303" i="1"/>
  <c r="R303" i="1"/>
  <c r="Q303" i="1"/>
  <c r="P303" i="1"/>
  <c r="V302" i="1"/>
  <c r="U302" i="1"/>
  <c r="T302" i="1"/>
  <c r="S302" i="1"/>
  <c r="R302" i="1"/>
  <c r="Q302" i="1"/>
  <c r="P302" i="1"/>
  <c r="V301" i="1"/>
  <c r="U301" i="1"/>
  <c r="T301" i="1"/>
  <c r="S301" i="1"/>
  <c r="R301" i="1"/>
  <c r="Q301" i="1"/>
  <c r="P301" i="1"/>
  <c r="V300" i="1"/>
  <c r="U300" i="1"/>
  <c r="T300" i="1"/>
  <c r="S300" i="1"/>
  <c r="R300" i="1"/>
  <c r="Q300" i="1"/>
  <c r="P300" i="1"/>
  <c r="V299" i="1"/>
  <c r="U299" i="1"/>
  <c r="T299" i="1"/>
  <c r="S299" i="1"/>
  <c r="R299" i="1"/>
  <c r="Q299" i="1"/>
  <c r="P299" i="1"/>
  <c r="V298" i="1"/>
  <c r="U298" i="1"/>
  <c r="T298" i="1"/>
  <c r="S298" i="1"/>
  <c r="R298" i="1"/>
  <c r="Q298" i="1"/>
  <c r="P298" i="1"/>
  <c r="V297" i="1"/>
  <c r="U297" i="1"/>
  <c r="T297" i="1"/>
  <c r="S297" i="1"/>
  <c r="R297" i="1"/>
  <c r="Q297" i="1"/>
  <c r="P297" i="1"/>
  <c r="V296" i="1"/>
  <c r="U296" i="1"/>
  <c r="T296" i="1"/>
  <c r="S296" i="1"/>
  <c r="R296" i="1"/>
  <c r="Q296" i="1"/>
  <c r="P296" i="1"/>
  <c r="V295" i="1"/>
  <c r="U295" i="1"/>
  <c r="T295" i="1"/>
  <c r="S295" i="1"/>
  <c r="R295" i="1"/>
  <c r="Q295" i="1"/>
  <c r="P295" i="1"/>
  <c r="V294" i="1"/>
  <c r="U294" i="1"/>
  <c r="T294" i="1"/>
  <c r="S294" i="1"/>
  <c r="R294" i="1"/>
  <c r="Q294" i="1"/>
  <c r="P294" i="1"/>
  <c r="V293" i="1"/>
  <c r="U293" i="1"/>
  <c r="T293" i="1"/>
  <c r="S293" i="1"/>
  <c r="R293" i="1"/>
  <c r="Q293" i="1"/>
  <c r="P293" i="1"/>
  <c r="V292" i="1"/>
  <c r="U292" i="1"/>
  <c r="T292" i="1"/>
  <c r="S292" i="1"/>
  <c r="R292" i="1"/>
  <c r="Q292" i="1"/>
  <c r="P292" i="1"/>
  <c r="V291" i="1"/>
  <c r="U291" i="1"/>
  <c r="T291" i="1"/>
  <c r="S291" i="1"/>
  <c r="R291" i="1"/>
  <c r="Q291" i="1"/>
  <c r="P291" i="1"/>
  <c r="V290" i="1"/>
  <c r="U290" i="1"/>
  <c r="T290" i="1"/>
  <c r="S290" i="1"/>
  <c r="R290" i="1"/>
  <c r="Q290" i="1"/>
  <c r="P290" i="1"/>
  <c r="V289" i="1"/>
  <c r="U289" i="1"/>
  <c r="T289" i="1"/>
  <c r="S289" i="1"/>
  <c r="R289" i="1"/>
  <c r="Q289" i="1"/>
  <c r="P289" i="1"/>
  <c r="V288" i="1"/>
  <c r="U288" i="1"/>
  <c r="T288" i="1"/>
  <c r="S288" i="1"/>
  <c r="R288" i="1"/>
  <c r="Q288" i="1"/>
  <c r="P288" i="1"/>
  <c r="V287" i="1"/>
  <c r="U287" i="1"/>
  <c r="T287" i="1"/>
  <c r="S287" i="1"/>
  <c r="R287" i="1"/>
  <c r="Q287" i="1"/>
  <c r="P287" i="1"/>
  <c r="V286" i="1"/>
  <c r="U286" i="1"/>
  <c r="T286" i="1"/>
  <c r="S286" i="1"/>
  <c r="R286" i="1"/>
  <c r="Q286" i="1"/>
  <c r="P286" i="1"/>
  <c r="V285" i="1"/>
  <c r="U285" i="1"/>
  <c r="T285" i="1"/>
  <c r="S285" i="1"/>
  <c r="R285" i="1"/>
  <c r="Q285" i="1"/>
  <c r="P285" i="1"/>
  <c r="V284" i="1"/>
  <c r="U284" i="1"/>
  <c r="T284" i="1"/>
  <c r="S284" i="1"/>
  <c r="R284" i="1"/>
  <c r="Q284" i="1"/>
  <c r="P284" i="1"/>
  <c r="V283" i="1"/>
  <c r="U283" i="1"/>
  <c r="T283" i="1"/>
  <c r="S283" i="1"/>
  <c r="R283" i="1"/>
  <c r="Q283" i="1"/>
  <c r="P283" i="1"/>
  <c r="V282" i="1"/>
  <c r="U282" i="1"/>
  <c r="T282" i="1"/>
  <c r="S282" i="1"/>
  <c r="R282" i="1"/>
  <c r="Q282" i="1"/>
  <c r="P282" i="1"/>
  <c r="V281" i="1"/>
  <c r="U281" i="1"/>
  <c r="T281" i="1"/>
  <c r="S281" i="1"/>
  <c r="R281" i="1"/>
  <c r="Q281" i="1"/>
  <c r="P281" i="1"/>
  <c r="V280" i="1"/>
  <c r="U280" i="1"/>
  <c r="T280" i="1"/>
  <c r="S280" i="1"/>
  <c r="R280" i="1"/>
  <c r="Q280" i="1"/>
  <c r="P280" i="1"/>
  <c r="V279" i="1"/>
  <c r="U279" i="1"/>
  <c r="T279" i="1"/>
  <c r="S279" i="1"/>
  <c r="R279" i="1"/>
  <c r="Q279" i="1"/>
  <c r="P279" i="1"/>
  <c r="V278" i="1"/>
  <c r="U278" i="1"/>
  <c r="T278" i="1"/>
  <c r="S278" i="1"/>
  <c r="R278" i="1"/>
  <c r="Q278" i="1"/>
  <c r="P278" i="1"/>
  <c r="V277" i="1"/>
  <c r="U277" i="1"/>
  <c r="T277" i="1"/>
  <c r="S277" i="1"/>
  <c r="R277" i="1"/>
  <c r="Q277" i="1"/>
  <c r="P277" i="1"/>
  <c r="V276" i="1"/>
  <c r="U276" i="1"/>
  <c r="T276" i="1"/>
  <c r="S276" i="1"/>
  <c r="R276" i="1"/>
  <c r="Q276" i="1"/>
  <c r="P276" i="1"/>
  <c r="V275" i="1"/>
  <c r="U275" i="1"/>
  <c r="T275" i="1"/>
  <c r="S275" i="1"/>
  <c r="R275" i="1"/>
  <c r="Q275" i="1"/>
  <c r="P275" i="1"/>
  <c r="V274" i="1"/>
  <c r="U274" i="1"/>
  <c r="T274" i="1"/>
  <c r="S274" i="1"/>
  <c r="R274" i="1"/>
  <c r="Q274" i="1"/>
  <c r="P274" i="1"/>
  <c r="V273" i="1"/>
  <c r="U273" i="1"/>
  <c r="T273" i="1"/>
  <c r="S273" i="1"/>
  <c r="R273" i="1"/>
  <c r="Q273" i="1"/>
  <c r="P273" i="1"/>
  <c r="V272" i="1"/>
  <c r="U272" i="1"/>
  <c r="T272" i="1"/>
  <c r="S272" i="1"/>
  <c r="R272" i="1"/>
  <c r="Q272" i="1"/>
  <c r="P272" i="1"/>
  <c r="V271" i="1"/>
  <c r="U271" i="1"/>
  <c r="T271" i="1"/>
  <c r="S271" i="1"/>
  <c r="R271" i="1"/>
  <c r="Q271" i="1"/>
  <c r="P271" i="1"/>
  <c r="V270" i="1"/>
  <c r="U270" i="1"/>
  <c r="T270" i="1"/>
  <c r="S270" i="1"/>
  <c r="R270" i="1"/>
  <c r="Q270" i="1"/>
  <c r="P270" i="1"/>
  <c r="V269" i="1"/>
  <c r="U269" i="1"/>
  <c r="T269" i="1"/>
  <c r="S269" i="1"/>
  <c r="R269" i="1"/>
  <c r="Q269" i="1"/>
  <c r="P269" i="1"/>
  <c r="V268" i="1"/>
  <c r="U268" i="1"/>
  <c r="T268" i="1"/>
  <c r="S268" i="1"/>
  <c r="R268" i="1"/>
  <c r="Q268" i="1"/>
  <c r="P268" i="1"/>
  <c r="V267" i="1"/>
  <c r="U267" i="1"/>
  <c r="T267" i="1"/>
  <c r="S267" i="1"/>
  <c r="R267" i="1"/>
  <c r="Q267" i="1"/>
  <c r="P267" i="1"/>
  <c r="V266" i="1"/>
  <c r="U266" i="1"/>
  <c r="T266" i="1"/>
  <c r="S266" i="1"/>
  <c r="R266" i="1"/>
  <c r="Q266" i="1"/>
  <c r="P266" i="1"/>
  <c r="V265" i="1"/>
  <c r="U265" i="1"/>
  <c r="T265" i="1"/>
  <c r="S265" i="1"/>
  <c r="R265" i="1"/>
  <c r="Q265" i="1"/>
  <c r="P265" i="1"/>
  <c r="V264" i="1"/>
  <c r="U264" i="1"/>
  <c r="T264" i="1"/>
  <c r="S264" i="1"/>
  <c r="R264" i="1"/>
  <c r="Q264" i="1"/>
  <c r="P264" i="1"/>
  <c r="V263" i="1"/>
  <c r="U263" i="1"/>
  <c r="T263" i="1"/>
  <c r="S263" i="1"/>
  <c r="R263" i="1"/>
  <c r="Q263" i="1"/>
  <c r="P263" i="1"/>
  <c r="V262" i="1"/>
  <c r="U262" i="1"/>
  <c r="T262" i="1"/>
  <c r="S262" i="1"/>
  <c r="R262" i="1"/>
  <c r="Q262" i="1"/>
  <c r="P262" i="1"/>
  <c r="V261" i="1"/>
  <c r="U261" i="1"/>
  <c r="T261" i="1"/>
  <c r="S261" i="1"/>
  <c r="R261" i="1"/>
  <c r="Q261" i="1"/>
  <c r="P261" i="1"/>
  <c r="V260" i="1"/>
  <c r="U260" i="1"/>
  <c r="T260" i="1"/>
  <c r="S260" i="1"/>
  <c r="R260" i="1"/>
  <c r="Q260" i="1"/>
  <c r="P260" i="1"/>
  <c r="V259" i="1"/>
  <c r="U259" i="1"/>
  <c r="T259" i="1"/>
  <c r="S259" i="1"/>
  <c r="R259" i="1"/>
  <c r="Q259" i="1"/>
  <c r="P259" i="1"/>
  <c r="V258" i="1"/>
  <c r="U258" i="1"/>
  <c r="T258" i="1"/>
  <c r="S258" i="1"/>
  <c r="R258" i="1"/>
  <c r="Q258" i="1"/>
  <c r="P258" i="1"/>
  <c r="V257" i="1"/>
  <c r="U257" i="1"/>
  <c r="T257" i="1"/>
  <c r="S257" i="1"/>
  <c r="R257" i="1"/>
  <c r="Q257" i="1"/>
  <c r="P257" i="1"/>
  <c r="V256" i="1"/>
  <c r="U256" i="1"/>
  <c r="T256" i="1"/>
  <c r="S256" i="1"/>
  <c r="R256" i="1"/>
  <c r="Q256" i="1"/>
  <c r="P256" i="1"/>
  <c r="V255" i="1"/>
  <c r="U255" i="1"/>
  <c r="T255" i="1"/>
  <c r="S255" i="1"/>
  <c r="R255" i="1"/>
  <c r="Q255" i="1"/>
  <c r="P255" i="1"/>
  <c r="V254" i="1"/>
  <c r="U254" i="1"/>
  <c r="T254" i="1"/>
  <c r="S254" i="1"/>
  <c r="R254" i="1"/>
  <c r="Q254" i="1"/>
  <c r="P254" i="1"/>
  <c r="V253" i="1"/>
  <c r="U253" i="1"/>
  <c r="T253" i="1"/>
  <c r="S253" i="1"/>
  <c r="R253" i="1"/>
  <c r="Q253" i="1"/>
  <c r="P253" i="1"/>
  <c r="V252" i="1"/>
  <c r="U252" i="1"/>
  <c r="T252" i="1"/>
  <c r="S252" i="1"/>
  <c r="R252" i="1"/>
  <c r="Q252" i="1"/>
  <c r="P252" i="1"/>
  <c r="V251" i="1"/>
  <c r="U251" i="1"/>
  <c r="T251" i="1"/>
  <c r="S251" i="1"/>
  <c r="R251" i="1"/>
  <c r="Q251" i="1"/>
  <c r="P251" i="1"/>
  <c r="V250" i="1"/>
  <c r="U250" i="1"/>
  <c r="T250" i="1"/>
  <c r="S250" i="1"/>
  <c r="R250" i="1"/>
  <c r="Q250" i="1"/>
  <c r="P250" i="1"/>
  <c r="V249" i="1"/>
  <c r="U249" i="1"/>
  <c r="T249" i="1"/>
  <c r="S249" i="1"/>
  <c r="R249" i="1"/>
  <c r="Q249" i="1"/>
  <c r="P249" i="1"/>
  <c r="V248" i="1"/>
  <c r="U248" i="1"/>
  <c r="T248" i="1"/>
  <c r="S248" i="1"/>
  <c r="R248" i="1"/>
  <c r="Q248" i="1"/>
  <c r="P248" i="1"/>
  <c r="V247" i="1"/>
  <c r="U247" i="1"/>
  <c r="T247" i="1"/>
  <c r="S247" i="1"/>
  <c r="R247" i="1"/>
  <c r="Q247" i="1"/>
  <c r="P247" i="1"/>
  <c r="V246" i="1"/>
  <c r="U246" i="1"/>
  <c r="T246" i="1"/>
  <c r="S246" i="1"/>
  <c r="R246" i="1"/>
  <c r="Q246" i="1"/>
  <c r="P246" i="1"/>
  <c r="V245" i="1"/>
  <c r="U245" i="1"/>
  <c r="T245" i="1"/>
  <c r="S245" i="1"/>
  <c r="R245" i="1"/>
  <c r="Q245" i="1"/>
  <c r="P245" i="1"/>
  <c r="V244" i="1"/>
  <c r="U244" i="1"/>
  <c r="T244" i="1"/>
  <c r="S244" i="1"/>
  <c r="R244" i="1"/>
  <c r="Q244" i="1"/>
  <c r="P244" i="1"/>
  <c r="V243" i="1"/>
  <c r="U243" i="1"/>
  <c r="T243" i="1"/>
  <c r="S243" i="1"/>
  <c r="R243" i="1"/>
  <c r="Q243" i="1"/>
  <c r="P243" i="1"/>
  <c r="V242" i="1"/>
  <c r="U242" i="1"/>
  <c r="T242" i="1"/>
  <c r="S242" i="1"/>
  <c r="R242" i="1"/>
  <c r="Q242" i="1"/>
  <c r="P242" i="1"/>
  <c r="V241" i="1"/>
  <c r="U241" i="1"/>
  <c r="T241" i="1"/>
  <c r="S241" i="1"/>
  <c r="R241" i="1"/>
  <c r="Q241" i="1"/>
  <c r="P241" i="1"/>
  <c r="V240" i="1"/>
  <c r="U240" i="1"/>
  <c r="T240" i="1"/>
  <c r="S240" i="1"/>
  <c r="R240" i="1"/>
  <c r="Q240" i="1"/>
  <c r="P240" i="1"/>
  <c r="V239" i="1"/>
  <c r="U239" i="1"/>
  <c r="T239" i="1"/>
  <c r="S239" i="1"/>
  <c r="R239" i="1"/>
  <c r="Q239" i="1"/>
  <c r="P239" i="1"/>
  <c r="V238" i="1"/>
  <c r="U238" i="1"/>
  <c r="T238" i="1"/>
  <c r="S238" i="1"/>
  <c r="R238" i="1"/>
  <c r="Q238" i="1"/>
  <c r="P238" i="1"/>
  <c r="V237" i="1"/>
  <c r="U237" i="1"/>
  <c r="T237" i="1"/>
  <c r="S237" i="1"/>
  <c r="R237" i="1"/>
  <c r="Q237" i="1"/>
  <c r="P237" i="1"/>
  <c r="V236" i="1"/>
  <c r="U236" i="1"/>
  <c r="T236" i="1"/>
  <c r="S236" i="1"/>
  <c r="R236" i="1"/>
  <c r="Q236" i="1"/>
  <c r="P236" i="1"/>
  <c r="V235" i="1"/>
  <c r="U235" i="1"/>
  <c r="T235" i="1"/>
  <c r="S235" i="1"/>
  <c r="R235" i="1"/>
  <c r="Q235" i="1"/>
  <c r="P235" i="1"/>
  <c r="V234" i="1"/>
  <c r="U234" i="1"/>
  <c r="T234" i="1"/>
  <c r="S234" i="1"/>
  <c r="R234" i="1"/>
  <c r="Q234" i="1"/>
  <c r="P234" i="1"/>
  <c r="V233" i="1"/>
  <c r="U233" i="1"/>
  <c r="T233" i="1"/>
  <c r="S233" i="1"/>
  <c r="R233" i="1"/>
  <c r="Q233" i="1"/>
  <c r="P233" i="1"/>
  <c r="V232" i="1"/>
  <c r="U232" i="1"/>
  <c r="T232" i="1"/>
  <c r="S232" i="1"/>
  <c r="R232" i="1"/>
  <c r="Q232" i="1"/>
  <c r="P232" i="1"/>
  <c r="V231" i="1"/>
  <c r="U231" i="1"/>
  <c r="T231" i="1"/>
  <c r="S231" i="1"/>
  <c r="R231" i="1"/>
  <c r="Q231" i="1"/>
  <c r="P231" i="1"/>
  <c r="V230" i="1"/>
  <c r="U230" i="1"/>
  <c r="T230" i="1"/>
  <c r="S230" i="1"/>
  <c r="R230" i="1"/>
  <c r="Q230" i="1"/>
  <c r="P230" i="1"/>
  <c r="V229" i="1"/>
  <c r="U229" i="1"/>
  <c r="T229" i="1"/>
  <c r="S229" i="1"/>
  <c r="R229" i="1"/>
  <c r="Q229" i="1"/>
  <c r="P229" i="1"/>
  <c r="V228" i="1"/>
  <c r="U228" i="1"/>
  <c r="T228" i="1"/>
  <c r="S228" i="1"/>
  <c r="R228" i="1"/>
  <c r="Q228" i="1"/>
  <c r="P228" i="1"/>
  <c r="V227" i="1"/>
  <c r="U227" i="1"/>
  <c r="T227" i="1"/>
  <c r="S227" i="1"/>
  <c r="R227" i="1"/>
  <c r="Q227" i="1"/>
  <c r="P227" i="1"/>
  <c r="V226" i="1"/>
  <c r="U226" i="1"/>
  <c r="T226" i="1"/>
  <c r="S226" i="1"/>
  <c r="R226" i="1"/>
  <c r="Q226" i="1"/>
  <c r="P226" i="1"/>
  <c r="V225" i="1"/>
  <c r="U225" i="1"/>
  <c r="T225" i="1"/>
  <c r="S225" i="1"/>
  <c r="R225" i="1"/>
  <c r="Q225" i="1"/>
  <c r="P225" i="1"/>
  <c r="V224" i="1"/>
  <c r="U224" i="1"/>
  <c r="T224" i="1"/>
  <c r="S224" i="1"/>
  <c r="R224" i="1"/>
  <c r="Q224" i="1"/>
  <c r="P224" i="1"/>
  <c r="V223" i="1"/>
  <c r="U223" i="1"/>
  <c r="T223" i="1"/>
  <c r="S223" i="1"/>
  <c r="R223" i="1"/>
  <c r="Q223" i="1"/>
  <c r="P223" i="1"/>
  <c r="V222" i="1"/>
  <c r="U222" i="1"/>
  <c r="T222" i="1"/>
  <c r="S222" i="1"/>
  <c r="R222" i="1"/>
  <c r="Q222" i="1"/>
  <c r="P222" i="1"/>
  <c r="V221" i="1"/>
  <c r="U221" i="1"/>
  <c r="T221" i="1"/>
  <c r="S221" i="1"/>
  <c r="R221" i="1"/>
  <c r="Q221" i="1"/>
  <c r="P221" i="1"/>
  <c r="V220" i="1"/>
  <c r="U220" i="1"/>
  <c r="T220" i="1"/>
  <c r="S220" i="1"/>
  <c r="R220" i="1"/>
  <c r="Q220" i="1"/>
  <c r="P220" i="1"/>
  <c r="V219" i="1"/>
  <c r="U219" i="1"/>
  <c r="T219" i="1"/>
  <c r="S219" i="1"/>
  <c r="R219" i="1"/>
  <c r="Q219" i="1"/>
  <c r="P219" i="1"/>
  <c r="V218" i="1"/>
  <c r="U218" i="1"/>
  <c r="T218" i="1"/>
  <c r="S218" i="1"/>
  <c r="R218" i="1"/>
  <c r="Q218" i="1"/>
  <c r="P218" i="1"/>
  <c r="V217" i="1"/>
  <c r="U217" i="1"/>
  <c r="T217" i="1"/>
  <c r="S217" i="1"/>
  <c r="R217" i="1"/>
  <c r="Q217" i="1"/>
  <c r="P217" i="1"/>
  <c r="V216" i="1"/>
  <c r="U216" i="1"/>
  <c r="T216" i="1"/>
  <c r="S216" i="1"/>
  <c r="R216" i="1"/>
  <c r="Q216" i="1"/>
  <c r="P216" i="1"/>
  <c r="V215" i="1"/>
  <c r="U215" i="1"/>
  <c r="T215" i="1"/>
  <c r="S215" i="1"/>
  <c r="R215" i="1"/>
  <c r="Q215" i="1"/>
  <c r="P215" i="1"/>
  <c r="V214" i="1"/>
  <c r="U214" i="1"/>
  <c r="T214" i="1"/>
  <c r="S214" i="1"/>
  <c r="R214" i="1"/>
  <c r="Q214" i="1"/>
  <c r="P214" i="1"/>
  <c r="V213" i="1"/>
  <c r="U213" i="1"/>
  <c r="T213" i="1"/>
  <c r="S213" i="1"/>
  <c r="R213" i="1"/>
  <c r="Q213" i="1"/>
  <c r="P213" i="1"/>
  <c r="V212" i="1"/>
  <c r="U212" i="1"/>
  <c r="T212" i="1"/>
  <c r="S212" i="1"/>
  <c r="R212" i="1"/>
  <c r="Q212" i="1"/>
  <c r="P212" i="1"/>
  <c r="V211" i="1"/>
  <c r="U211" i="1"/>
  <c r="T211" i="1"/>
  <c r="S211" i="1"/>
  <c r="R211" i="1"/>
  <c r="Q211" i="1"/>
  <c r="P211" i="1"/>
  <c r="V210" i="1"/>
  <c r="U210" i="1"/>
  <c r="T210" i="1"/>
  <c r="S210" i="1"/>
  <c r="R210" i="1"/>
  <c r="Q210" i="1"/>
  <c r="P210" i="1"/>
  <c r="V209" i="1"/>
  <c r="U209" i="1"/>
  <c r="T209" i="1"/>
  <c r="S209" i="1"/>
  <c r="R209" i="1"/>
  <c r="Q209" i="1"/>
  <c r="P209" i="1"/>
  <c r="V208" i="1"/>
  <c r="U208" i="1"/>
  <c r="T208" i="1"/>
  <c r="S208" i="1"/>
  <c r="R208" i="1"/>
  <c r="Q208" i="1"/>
  <c r="P208" i="1"/>
  <c r="V207" i="1"/>
  <c r="U207" i="1"/>
  <c r="T207" i="1"/>
  <c r="S207" i="1"/>
  <c r="R207" i="1"/>
  <c r="Q207" i="1"/>
  <c r="P207" i="1"/>
  <c r="V206" i="1"/>
  <c r="U206" i="1"/>
  <c r="T206" i="1"/>
  <c r="S206" i="1"/>
  <c r="R206" i="1"/>
  <c r="Q206" i="1"/>
  <c r="P206" i="1"/>
  <c r="V205" i="1"/>
  <c r="U205" i="1"/>
  <c r="T205" i="1"/>
  <c r="S205" i="1"/>
  <c r="R205" i="1"/>
  <c r="Q205" i="1"/>
  <c r="P205" i="1"/>
  <c r="V204" i="1"/>
  <c r="U204" i="1"/>
  <c r="T204" i="1"/>
  <c r="S204" i="1"/>
  <c r="R204" i="1"/>
  <c r="Q204" i="1"/>
  <c r="P204" i="1"/>
  <c r="V203" i="1"/>
  <c r="U203" i="1"/>
  <c r="T203" i="1"/>
  <c r="S203" i="1"/>
  <c r="R203" i="1"/>
  <c r="Q203" i="1"/>
  <c r="P203" i="1"/>
  <c r="V202" i="1"/>
  <c r="U202" i="1"/>
  <c r="T202" i="1"/>
  <c r="S202" i="1"/>
  <c r="R202" i="1"/>
  <c r="Q202" i="1"/>
  <c r="P202" i="1"/>
  <c r="V201" i="1"/>
  <c r="U201" i="1"/>
  <c r="T201" i="1"/>
  <c r="S201" i="1"/>
  <c r="R201" i="1"/>
  <c r="Q201" i="1"/>
  <c r="P201" i="1"/>
  <c r="V200" i="1"/>
  <c r="U200" i="1"/>
  <c r="T200" i="1"/>
  <c r="S200" i="1"/>
  <c r="R200" i="1"/>
  <c r="Q200" i="1"/>
  <c r="P200" i="1"/>
  <c r="V199" i="1"/>
  <c r="U199" i="1"/>
  <c r="T199" i="1"/>
  <c r="S199" i="1"/>
  <c r="R199" i="1"/>
  <c r="Q199" i="1"/>
  <c r="P199" i="1"/>
  <c r="V198" i="1"/>
  <c r="U198" i="1"/>
  <c r="T198" i="1"/>
  <c r="S198" i="1"/>
  <c r="R198" i="1"/>
  <c r="Q198" i="1"/>
  <c r="P198" i="1"/>
  <c r="V197" i="1"/>
  <c r="U197" i="1"/>
  <c r="T197" i="1"/>
  <c r="S197" i="1"/>
  <c r="R197" i="1"/>
  <c r="Q197" i="1"/>
  <c r="P197" i="1"/>
  <c r="V196" i="1"/>
  <c r="U196" i="1"/>
  <c r="T196" i="1"/>
  <c r="S196" i="1"/>
  <c r="R196" i="1"/>
  <c r="Q196" i="1"/>
  <c r="P196" i="1"/>
  <c r="V195" i="1"/>
  <c r="U195" i="1"/>
  <c r="T195" i="1"/>
  <c r="S195" i="1"/>
  <c r="R195" i="1"/>
  <c r="Q195" i="1"/>
  <c r="P195" i="1"/>
  <c r="V194" i="1"/>
  <c r="U194" i="1"/>
  <c r="T194" i="1"/>
  <c r="S194" i="1"/>
  <c r="R194" i="1"/>
  <c r="Q194" i="1"/>
  <c r="P194" i="1"/>
  <c r="V193" i="1"/>
  <c r="U193" i="1"/>
  <c r="T193" i="1"/>
  <c r="S193" i="1"/>
  <c r="R193" i="1"/>
  <c r="Q193" i="1"/>
  <c r="P193" i="1"/>
  <c r="V192" i="1"/>
  <c r="U192" i="1"/>
  <c r="T192" i="1"/>
  <c r="S192" i="1"/>
  <c r="R192" i="1"/>
  <c r="Q192" i="1"/>
  <c r="P192" i="1"/>
  <c r="V191" i="1"/>
  <c r="U191" i="1"/>
  <c r="T191" i="1"/>
  <c r="S191" i="1"/>
  <c r="R191" i="1"/>
  <c r="Q191" i="1"/>
  <c r="P191" i="1"/>
  <c r="V190" i="1"/>
  <c r="U190" i="1"/>
  <c r="T190" i="1"/>
  <c r="S190" i="1"/>
  <c r="R190" i="1"/>
  <c r="Q190" i="1"/>
  <c r="P190" i="1"/>
  <c r="V189" i="1"/>
  <c r="U189" i="1"/>
  <c r="T189" i="1"/>
  <c r="S189" i="1"/>
  <c r="R189" i="1"/>
  <c r="Q189" i="1"/>
  <c r="P189" i="1"/>
  <c r="V188" i="1"/>
  <c r="U188" i="1"/>
  <c r="T188" i="1"/>
  <c r="S188" i="1"/>
  <c r="R188" i="1"/>
  <c r="Q188" i="1"/>
  <c r="P188" i="1"/>
  <c r="V187" i="1"/>
  <c r="U187" i="1"/>
  <c r="T187" i="1"/>
  <c r="S187" i="1"/>
  <c r="R187" i="1"/>
  <c r="Q187" i="1"/>
  <c r="P187" i="1"/>
  <c r="V186" i="1"/>
  <c r="U186" i="1"/>
  <c r="T186" i="1"/>
  <c r="S186" i="1"/>
  <c r="R186" i="1"/>
  <c r="Q186" i="1"/>
  <c r="P186" i="1"/>
  <c r="V185" i="1"/>
  <c r="U185" i="1"/>
  <c r="T185" i="1"/>
  <c r="S185" i="1"/>
  <c r="R185" i="1"/>
  <c r="Q185" i="1"/>
  <c r="P185" i="1"/>
  <c r="V184" i="1"/>
  <c r="U184" i="1"/>
  <c r="T184" i="1"/>
  <c r="S184" i="1"/>
  <c r="R184" i="1"/>
  <c r="Q184" i="1"/>
  <c r="P184" i="1"/>
  <c r="V183" i="1"/>
  <c r="U183" i="1"/>
  <c r="T183" i="1"/>
  <c r="S183" i="1"/>
  <c r="R183" i="1"/>
  <c r="Q183" i="1"/>
  <c r="P183" i="1"/>
  <c r="V182" i="1"/>
  <c r="U182" i="1"/>
  <c r="T182" i="1"/>
  <c r="S182" i="1"/>
  <c r="R182" i="1"/>
  <c r="Q182" i="1"/>
  <c r="P182" i="1"/>
  <c r="V181" i="1"/>
  <c r="U181" i="1"/>
  <c r="T181" i="1"/>
  <c r="S181" i="1"/>
  <c r="R181" i="1"/>
  <c r="Q181" i="1"/>
  <c r="P181" i="1"/>
  <c r="V180" i="1"/>
  <c r="U180" i="1"/>
  <c r="T180" i="1"/>
  <c r="S180" i="1"/>
  <c r="R180" i="1"/>
  <c r="Q180" i="1"/>
  <c r="P180" i="1"/>
  <c r="V179" i="1"/>
  <c r="U179" i="1"/>
  <c r="T179" i="1"/>
  <c r="S179" i="1"/>
  <c r="R179" i="1"/>
  <c r="Q179" i="1"/>
  <c r="P179" i="1"/>
  <c r="V178" i="1"/>
  <c r="U178" i="1"/>
  <c r="T178" i="1"/>
  <c r="S178" i="1"/>
  <c r="R178" i="1"/>
  <c r="Q178" i="1"/>
  <c r="P178" i="1"/>
  <c r="V177" i="1"/>
  <c r="U177" i="1"/>
  <c r="T177" i="1"/>
  <c r="S177" i="1"/>
  <c r="R177" i="1"/>
  <c r="Q177" i="1"/>
  <c r="P177" i="1"/>
  <c r="V176" i="1"/>
  <c r="U176" i="1"/>
  <c r="T176" i="1"/>
  <c r="S176" i="1"/>
  <c r="R176" i="1"/>
  <c r="Q176" i="1"/>
  <c r="P176" i="1"/>
  <c r="V175" i="1"/>
  <c r="U175" i="1"/>
  <c r="T175" i="1"/>
  <c r="S175" i="1"/>
  <c r="R175" i="1"/>
  <c r="Q175" i="1"/>
  <c r="P175" i="1"/>
  <c r="V174" i="1"/>
  <c r="U174" i="1"/>
  <c r="T174" i="1"/>
  <c r="S174" i="1"/>
  <c r="R174" i="1"/>
  <c r="Q174" i="1"/>
  <c r="P174" i="1"/>
  <c r="V173" i="1"/>
  <c r="U173" i="1"/>
  <c r="T173" i="1"/>
  <c r="S173" i="1"/>
  <c r="R173" i="1"/>
  <c r="Q173" i="1"/>
  <c r="P173" i="1"/>
  <c r="V172" i="1"/>
  <c r="U172" i="1"/>
  <c r="T172" i="1"/>
  <c r="S172" i="1"/>
  <c r="R172" i="1"/>
  <c r="Q172" i="1"/>
  <c r="P172" i="1"/>
  <c r="V171" i="1"/>
  <c r="U171" i="1"/>
  <c r="T171" i="1"/>
  <c r="S171" i="1"/>
  <c r="R171" i="1"/>
  <c r="Q171" i="1"/>
  <c r="P171" i="1"/>
  <c r="V170" i="1"/>
  <c r="U170" i="1"/>
  <c r="T170" i="1"/>
  <c r="S170" i="1"/>
  <c r="R170" i="1"/>
  <c r="Q170" i="1"/>
  <c r="P170" i="1"/>
  <c r="V169" i="1"/>
  <c r="U169" i="1"/>
  <c r="T169" i="1"/>
  <c r="S169" i="1"/>
  <c r="R169" i="1"/>
  <c r="Q169" i="1"/>
  <c r="P169" i="1"/>
  <c r="V168" i="1"/>
  <c r="U168" i="1"/>
  <c r="T168" i="1"/>
  <c r="S168" i="1"/>
  <c r="R168" i="1"/>
  <c r="Q168" i="1"/>
  <c r="P168" i="1"/>
  <c r="V167" i="1"/>
  <c r="U167" i="1"/>
  <c r="T167" i="1"/>
  <c r="S167" i="1"/>
  <c r="R167" i="1"/>
  <c r="Q167" i="1"/>
  <c r="P167" i="1"/>
  <c r="V166" i="1"/>
  <c r="U166" i="1"/>
  <c r="T166" i="1"/>
  <c r="S166" i="1"/>
  <c r="R166" i="1"/>
  <c r="Q166" i="1"/>
  <c r="P166" i="1"/>
  <c r="V165" i="1"/>
  <c r="U165" i="1"/>
  <c r="T165" i="1"/>
  <c r="S165" i="1"/>
  <c r="R165" i="1"/>
  <c r="Q165" i="1"/>
  <c r="P165" i="1"/>
  <c r="V164" i="1"/>
  <c r="U164" i="1"/>
  <c r="T164" i="1"/>
  <c r="S164" i="1"/>
  <c r="R164" i="1"/>
  <c r="Q164" i="1"/>
  <c r="P164" i="1"/>
  <c r="V163" i="1"/>
  <c r="U163" i="1"/>
  <c r="T163" i="1"/>
  <c r="S163" i="1"/>
  <c r="R163" i="1"/>
  <c r="Q163" i="1"/>
  <c r="P163" i="1"/>
  <c r="V162" i="1"/>
  <c r="U162" i="1"/>
  <c r="T162" i="1"/>
  <c r="S162" i="1"/>
  <c r="R162" i="1"/>
  <c r="Q162" i="1"/>
  <c r="P162" i="1"/>
  <c r="V161" i="1"/>
  <c r="U161" i="1"/>
  <c r="T161" i="1"/>
  <c r="S161" i="1"/>
  <c r="R161" i="1"/>
  <c r="Q161" i="1"/>
  <c r="P161" i="1"/>
  <c r="V160" i="1"/>
  <c r="U160" i="1"/>
  <c r="T160" i="1"/>
  <c r="S160" i="1"/>
  <c r="R160" i="1"/>
  <c r="Q160" i="1"/>
  <c r="P160" i="1"/>
  <c r="V159" i="1"/>
  <c r="U159" i="1"/>
  <c r="T159" i="1"/>
  <c r="S159" i="1"/>
  <c r="R159" i="1"/>
  <c r="Q159" i="1"/>
  <c r="P159" i="1"/>
  <c r="V158" i="1"/>
  <c r="U158" i="1"/>
  <c r="T158" i="1"/>
  <c r="S158" i="1"/>
  <c r="R158" i="1"/>
  <c r="Q158" i="1"/>
  <c r="P158" i="1"/>
  <c r="V157" i="1"/>
  <c r="U157" i="1"/>
  <c r="T157" i="1"/>
  <c r="S157" i="1"/>
  <c r="R157" i="1"/>
  <c r="Q157" i="1"/>
  <c r="P157" i="1"/>
  <c r="V156" i="1"/>
  <c r="U156" i="1"/>
  <c r="T156" i="1"/>
  <c r="S156" i="1"/>
  <c r="R156" i="1"/>
  <c r="Q156" i="1"/>
  <c r="P156" i="1"/>
  <c r="V155" i="1"/>
  <c r="U155" i="1"/>
  <c r="T155" i="1"/>
  <c r="S155" i="1"/>
  <c r="R155" i="1"/>
  <c r="Q155" i="1"/>
  <c r="P155" i="1"/>
  <c r="V154" i="1"/>
  <c r="U154" i="1"/>
  <c r="T154" i="1"/>
  <c r="S154" i="1"/>
  <c r="R154" i="1"/>
  <c r="Q154" i="1"/>
  <c r="P154" i="1"/>
  <c r="V153" i="1"/>
  <c r="U153" i="1"/>
  <c r="T153" i="1"/>
  <c r="S153" i="1"/>
  <c r="R153" i="1"/>
  <c r="Q153" i="1"/>
  <c r="P153" i="1"/>
  <c r="V152" i="1"/>
  <c r="U152" i="1"/>
  <c r="T152" i="1"/>
  <c r="S152" i="1"/>
  <c r="R152" i="1"/>
  <c r="Q152" i="1"/>
  <c r="P152" i="1"/>
  <c r="V151" i="1"/>
  <c r="U151" i="1"/>
  <c r="T151" i="1"/>
  <c r="S151" i="1"/>
  <c r="R151" i="1"/>
  <c r="Q151" i="1"/>
  <c r="P151" i="1"/>
  <c r="V150" i="1"/>
  <c r="U150" i="1"/>
  <c r="T150" i="1"/>
  <c r="S150" i="1"/>
  <c r="R150" i="1"/>
  <c r="Q150" i="1"/>
  <c r="P150" i="1"/>
  <c r="V149" i="1"/>
  <c r="U149" i="1"/>
  <c r="T149" i="1"/>
  <c r="S149" i="1"/>
  <c r="R149" i="1"/>
  <c r="Q149" i="1"/>
  <c r="P149" i="1"/>
  <c r="V148" i="1"/>
  <c r="U148" i="1"/>
  <c r="T148" i="1"/>
  <c r="S148" i="1"/>
  <c r="R148" i="1"/>
  <c r="Q148" i="1"/>
  <c r="P148" i="1"/>
  <c r="V147" i="1"/>
  <c r="U147" i="1"/>
  <c r="T147" i="1"/>
  <c r="S147" i="1"/>
  <c r="R147" i="1"/>
  <c r="Q147" i="1"/>
  <c r="P147" i="1"/>
  <c r="V146" i="1"/>
  <c r="U146" i="1"/>
  <c r="T146" i="1"/>
  <c r="S146" i="1"/>
  <c r="R146" i="1"/>
  <c r="Q146" i="1"/>
  <c r="P146" i="1"/>
  <c r="V145" i="1"/>
  <c r="U145" i="1"/>
  <c r="T145" i="1"/>
  <c r="S145" i="1"/>
  <c r="R145" i="1"/>
  <c r="Q145" i="1"/>
  <c r="P145" i="1"/>
  <c r="V144" i="1"/>
  <c r="U144" i="1"/>
  <c r="T144" i="1"/>
  <c r="S144" i="1"/>
  <c r="R144" i="1"/>
  <c r="Q144" i="1"/>
  <c r="P144" i="1"/>
  <c r="V143" i="1"/>
  <c r="U143" i="1"/>
  <c r="T143" i="1"/>
  <c r="S143" i="1"/>
  <c r="R143" i="1"/>
  <c r="Q143" i="1"/>
  <c r="P143" i="1"/>
  <c r="V142" i="1"/>
  <c r="U142" i="1"/>
  <c r="T142" i="1"/>
  <c r="S142" i="1"/>
  <c r="R142" i="1"/>
  <c r="Q142" i="1"/>
  <c r="P142" i="1"/>
  <c r="V141" i="1"/>
  <c r="U141" i="1"/>
  <c r="T141" i="1"/>
  <c r="S141" i="1"/>
  <c r="R141" i="1"/>
  <c r="Q141" i="1"/>
  <c r="P141" i="1"/>
  <c r="V140" i="1"/>
  <c r="U140" i="1"/>
  <c r="T140" i="1"/>
  <c r="S140" i="1"/>
  <c r="R140" i="1"/>
  <c r="Q140" i="1"/>
  <c r="P140" i="1"/>
  <c r="V139" i="1"/>
  <c r="U139" i="1"/>
  <c r="T139" i="1"/>
  <c r="S139" i="1"/>
  <c r="R139" i="1"/>
  <c r="Q139" i="1"/>
  <c r="P139" i="1"/>
  <c r="V138" i="1"/>
  <c r="U138" i="1"/>
  <c r="T138" i="1"/>
  <c r="S138" i="1"/>
  <c r="R138" i="1"/>
  <c r="Q138" i="1"/>
  <c r="P138" i="1"/>
  <c r="V137" i="1"/>
  <c r="U137" i="1"/>
  <c r="T137" i="1"/>
  <c r="S137" i="1"/>
  <c r="R137" i="1"/>
  <c r="Q137" i="1"/>
  <c r="P137" i="1"/>
  <c r="V136" i="1"/>
  <c r="U136" i="1"/>
  <c r="T136" i="1"/>
  <c r="S136" i="1"/>
  <c r="R136" i="1"/>
  <c r="Q136" i="1"/>
  <c r="P136" i="1"/>
  <c r="V135" i="1"/>
  <c r="U135" i="1"/>
  <c r="T135" i="1"/>
  <c r="S135" i="1"/>
  <c r="R135" i="1"/>
  <c r="Q135" i="1"/>
  <c r="P135" i="1"/>
  <c r="V134" i="1"/>
  <c r="U134" i="1"/>
  <c r="T134" i="1"/>
  <c r="S134" i="1"/>
  <c r="R134" i="1"/>
  <c r="Q134" i="1"/>
  <c r="P134" i="1"/>
  <c r="V133" i="1"/>
  <c r="U133" i="1"/>
  <c r="T133" i="1"/>
  <c r="S133" i="1"/>
  <c r="R133" i="1"/>
  <c r="Q133" i="1"/>
  <c r="P133" i="1"/>
  <c r="V132" i="1"/>
  <c r="U132" i="1"/>
  <c r="T132" i="1"/>
  <c r="S132" i="1"/>
  <c r="R132" i="1"/>
  <c r="Q132" i="1"/>
  <c r="P132" i="1"/>
  <c r="V131" i="1"/>
  <c r="U131" i="1"/>
  <c r="T131" i="1"/>
  <c r="S131" i="1"/>
  <c r="R131" i="1"/>
  <c r="Q131" i="1"/>
  <c r="P131" i="1"/>
  <c r="V130" i="1"/>
  <c r="U130" i="1"/>
  <c r="T130" i="1"/>
  <c r="S130" i="1"/>
  <c r="R130" i="1"/>
  <c r="Q130" i="1"/>
  <c r="P130" i="1"/>
  <c r="V129" i="1"/>
  <c r="U129" i="1"/>
  <c r="T129" i="1"/>
  <c r="S129" i="1"/>
  <c r="R129" i="1"/>
  <c r="Q129" i="1"/>
  <c r="P129" i="1"/>
  <c r="V128" i="1"/>
  <c r="U128" i="1"/>
  <c r="T128" i="1"/>
  <c r="S128" i="1"/>
  <c r="R128" i="1"/>
  <c r="Q128" i="1"/>
  <c r="P128" i="1"/>
  <c r="V127" i="1"/>
  <c r="U127" i="1"/>
  <c r="T127" i="1"/>
  <c r="S127" i="1"/>
  <c r="R127" i="1"/>
  <c r="Q127" i="1"/>
  <c r="P127" i="1"/>
  <c r="V126" i="1"/>
  <c r="U126" i="1"/>
  <c r="T126" i="1"/>
  <c r="S126" i="1"/>
  <c r="R126" i="1"/>
  <c r="Q126" i="1"/>
  <c r="P126" i="1"/>
  <c r="V125" i="1"/>
  <c r="U125" i="1"/>
  <c r="T125" i="1"/>
  <c r="S125" i="1"/>
  <c r="R125" i="1"/>
  <c r="Q125" i="1"/>
  <c r="P125" i="1"/>
  <c r="V124" i="1"/>
  <c r="U124" i="1"/>
  <c r="T124" i="1"/>
  <c r="S124" i="1"/>
  <c r="R124" i="1"/>
  <c r="Q124" i="1"/>
  <c r="P124" i="1"/>
  <c r="V123" i="1"/>
  <c r="U123" i="1"/>
  <c r="T123" i="1"/>
  <c r="S123" i="1"/>
  <c r="R123" i="1"/>
  <c r="Q123" i="1"/>
  <c r="P123" i="1"/>
  <c r="V122" i="1"/>
  <c r="U122" i="1"/>
  <c r="T122" i="1"/>
  <c r="S122" i="1"/>
  <c r="R122" i="1"/>
  <c r="Q122" i="1"/>
  <c r="P122" i="1"/>
  <c r="V121" i="1"/>
  <c r="U121" i="1"/>
  <c r="T121" i="1"/>
  <c r="S121" i="1"/>
  <c r="R121" i="1"/>
  <c r="Q121" i="1"/>
  <c r="P121" i="1"/>
  <c r="V120" i="1"/>
  <c r="U120" i="1"/>
  <c r="T120" i="1"/>
  <c r="S120" i="1"/>
  <c r="R120" i="1"/>
  <c r="Q120" i="1"/>
  <c r="P120" i="1"/>
  <c r="V119" i="1"/>
  <c r="U119" i="1"/>
  <c r="T119" i="1"/>
  <c r="S119" i="1"/>
  <c r="R119" i="1"/>
  <c r="Q119" i="1"/>
  <c r="P119" i="1"/>
  <c r="V118" i="1"/>
  <c r="U118" i="1"/>
  <c r="T118" i="1"/>
  <c r="S118" i="1"/>
  <c r="R118" i="1"/>
  <c r="Q118" i="1"/>
  <c r="P118" i="1"/>
  <c r="V117" i="1"/>
  <c r="U117" i="1"/>
  <c r="T117" i="1"/>
  <c r="S117" i="1"/>
  <c r="R117" i="1"/>
  <c r="Q117" i="1"/>
  <c r="P117" i="1"/>
  <c r="V116" i="1"/>
  <c r="U116" i="1"/>
  <c r="T116" i="1"/>
  <c r="S116" i="1"/>
  <c r="R116" i="1"/>
  <c r="Q116" i="1"/>
  <c r="P116" i="1"/>
  <c r="V115" i="1"/>
  <c r="U115" i="1"/>
  <c r="T115" i="1"/>
  <c r="S115" i="1"/>
  <c r="R115" i="1"/>
  <c r="Q115" i="1"/>
  <c r="P115" i="1"/>
  <c r="V114" i="1"/>
  <c r="U114" i="1"/>
  <c r="T114" i="1"/>
  <c r="S114" i="1"/>
  <c r="R114" i="1"/>
  <c r="Q114" i="1"/>
  <c r="P114" i="1"/>
  <c r="V113" i="1"/>
  <c r="U113" i="1"/>
  <c r="T113" i="1"/>
  <c r="S113" i="1"/>
  <c r="R113" i="1"/>
  <c r="Q113" i="1"/>
  <c r="P113" i="1"/>
  <c r="V112" i="1"/>
  <c r="U112" i="1"/>
  <c r="T112" i="1"/>
  <c r="S112" i="1"/>
  <c r="R112" i="1"/>
  <c r="Q112" i="1"/>
  <c r="P112" i="1"/>
  <c r="V111" i="1"/>
  <c r="U111" i="1"/>
  <c r="T111" i="1"/>
  <c r="S111" i="1"/>
  <c r="R111" i="1"/>
  <c r="Q111" i="1"/>
  <c r="P111" i="1"/>
  <c r="V110" i="1"/>
  <c r="U110" i="1"/>
  <c r="T110" i="1"/>
  <c r="S110" i="1"/>
  <c r="R110" i="1"/>
  <c r="Q110" i="1"/>
  <c r="P110" i="1"/>
  <c r="V109" i="1"/>
  <c r="U109" i="1"/>
  <c r="T109" i="1"/>
  <c r="S109" i="1"/>
  <c r="R109" i="1"/>
  <c r="Q109" i="1"/>
  <c r="P109" i="1"/>
  <c r="V108" i="1"/>
  <c r="U108" i="1"/>
  <c r="T108" i="1"/>
  <c r="S108" i="1"/>
  <c r="R108" i="1"/>
  <c r="Q108" i="1"/>
  <c r="P108" i="1"/>
  <c r="V107" i="1"/>
  <c r="U107" i="1"/>
  <c r="T107" i="1"/>
  <c r="S107" i="1"/>
  <c r="R107" i="1"/>
  <c r="Q107" i="1"/>
  <c r="P107" i="1"/>
  <c r="V106" i="1"/>
  <c r="U106" i="1"/>
  <c r="T106" i="1"/>
  <c r="S106" i="1"/>
  <c r="R106" i="1"/>
  <c r="Q106" i="1"/>
  <c r="P106" i="1"/>
  <c r="V105" i="1"/>
  <c r="U105" i="1"/>
  <c r="T105" i="1"/>
  <c r="S105" i="1"/>
  <c r="R105" i="1"/>
  <c r="Q105" i="1"/>
  <c r="P105" i="1"/>
  <c r="V104" i="1"/>
  <c r="U104" i="1"/>
  <c r="T104" i="1"/>
  <c r="S104" i="1"/>
  <c r="R104" i="1"/>
  <c r="Q104" i="1"/>
  <c r="P104" i="1"/>
  <c r="V103" i="1"/>
  <c r="U103" i="1"/>
  <c r="T103" i="1"/>
  <c r="S103" i="1"/>
  <c r="R103" i="1"/>
  <c r="Q103" i="1"/>
  <c r="P103" i="1"/>
  <c r="V102" i="1"/>
  <c r="U102" i="1"/>
  <c r="T102" i="1"/>
  <c r="S102" i="1"/>
  <c r="R102" i="1"/>
  <c r="Q102" i="1"/>
  <c r="P102" i="1"/>
  <c r="V101" i="1"/>
  <c r="U101" i="1"/>
  <c r="T101" i="1"/>
  <c r="S101" i="1"/>
  <c r="R101" i="1"/>
  <c r="Q101" i="1"/>
  <c r="P101" i="1"/>
  <c r="V100" i="1"/>
  <c r="U100" i="1"/>
  <c r="T100" i="1"/>
  <c r="S100" i="1"/>
  <c r="R100" i="1"/>
  <c r="Q100" i="1"/>
  <c r="P100" i="1"/>
  <c r="V99" i="1"/>
  <c r="U99" i="1"/>
  <c r="T99" i="1"/>
  <c r="S99" i="1"/>
  <c r="R99" i="1"/>
  <c r="Q99" i="1"/>
  <c r="P99" i="1"/>
  <c r="V98" i="1"/>
  <c r="U98" i="1"/>
  <c r="T98" i="1"/>
  <c r="S98" i="1"/>
  <c r="R98" i="1"/>
  <c r="Q98" i="1"/>
  <c r="P98" i="1"/>
  <c r="V97" i="1"/>
  <c r="U97" i="1"/>
  <c r="T97" i="1"/>
  <c r="S97" i="1"/>
  <c r="R97" i="1"/>
  <c r="Q97" i="1"/>
  <c r="P97" i="1"/>
  <c r="V96" i="1"/>
  <c r="U96" i="1"/>
  <c r="T96" i="1"/>
  <c r="S96" i="1"/>
  <c r="R96" i="1"/>
  <c r="Q96" i="1"/>
  <c r="P96" i="1"/>
  <c r="V95" i="1"/>
  <c r="U95" i="1"/>
  <c r="T95" i="1"/>
  <c r="S95" i="1"/>
  <c r="R95" i="1"/>
  <c r="Q95" i="1"/>
  <c r="P95" i="1"/>
  <c r="V94" i="1"/>
  <c r="U94" i="1"/>
  <c r="T94" i="1"/>
  <c r="S94" i="1"/>
  <c r="R94" i="1"/>
  <c r="Q94" i="1"/>
  <c r="P94" i="1"/>
  <c r="V93" i="1"/>
  <c r="U93" i="1"/>
  <c r="T93" i="1"/>
  <c r="S93" i="1"/>
  <c r="R93" i="1"/>
  <c r="Q93" i="1"/>
  <c r="P93" i="1"/>
  <c r="V92" i="1"/>
  <c r="U92" i="1"/>
  <c r="T92" i="1"/>
  <c r="S92" i="1"/>
  <c r="R92" i="1"/>
  <c r="Q92" i="1"/>
  <c r="P92" i="1"/>
  <c r="V91" i="1"/>
  <c r="U91" i="1"/>
  <c r="T91" i="1"/>
  <c r="S91" i="1"/>
  <c r="R91" i="1"/>
  <c r="Q91" i="1"/>
  <c r="P91" i="1"/>
  <c r="V90" i="1"/>
  <c r="U90" i="1"/>
  <c r="T90" i="1"/>
  <c r="S90" i="1"/>
  <c r="R90" i="1"/>
  <c r="Q90" i="1"/>
  <c r="P90" i="1"/>
  <c r="V89" i="1"/>
  <c r="U89" i="1"/>
  <c r="T89" i="1"/>
  <c r="S89" i="1"/>
  <c r="R89" i="1"/>
  <c r="Q89" i="1"/>
  <c r="P89" i="1"/>
  <c r="V88" i="1"/>
  <c r="U88" i="1"/>
  <c r="T88" i="1"/>
  <c r="S88" i="1"/>
  <c r="R88" i="1"/>
  <c r="Q88" i="1"/>
  <c r="P88" i="1"/>
  <c r="V87" i="1"/>
  <c r="U87" i="1"/>
  <c r="T87" i="1"/>
  <c r="S87" i="1"/>
  <c r="R87" i="1"/>
  <c r="Q87" i="1"/>
  <c r="P87" i="1"/>
  <c r="V86" i="1"/>
  <c r="U86" i="1"/>
  <c r="T86" i="1"/>
  <c r="S86" i="1"/>
  <c r="R86" i="1"/>
  <c r="Q86" i="1"/>
  <c r="P86" i="1"/>
  <c r="V85" i="1"/>
  <c r="U85" i="1"/>
  <c r="T85" i="1"/>
  <c r="S85" i="1"/>
  <c r="R85" i="1"/>
  <c r="Q85" i="1"/>
  <c r="P85" i="1"/>
  <c r="V84" i="1"/>
  <c r="U84" i="1"/>
  <c r="T84" i="1"/>
  <c r="S84" i="1"/>
  <c r="R84" i="1"/>
  <c r="Q84" i="1"/>
  <c r="P84" i="1"/>
  <c r="V83" i="1"/>
  <c r="U83" i="1"/>
  <c r="T83" i="1"/>
  <c r="S83" i="1"/>
  <c r="R83" i="1"/>
  <c r="Q83" i="1"/>
  <c r="P83" i="1"/>
  <c r="V82" i="1"/>
  <c r="U82" i="1"/>
  <c r="T82" i="1"/>
  <c r="S82" i="1"/>
  <c r="R82" i="1"/>
  <c r="Q82" i="1"/>
  <c r="P82" i="1"/>
  <c r="V81" i="1"/>
  <c r="U81" i="1"/>
  <c r="T81" i="1"/>
  <c r="S81" i="1"/>
  <c r="R81" i="1"/>
  <c r="Q81" i="1"/>
  <c r="P81" i="1"/>
  <c r="V80" i="1"/>
  <c r="U80" i="1"/>
  <c r="T80" i="1"/>
  <c r="S80" i="1"/>
  <c r="R80" i="1"/>
  <c r="Q80" i="1"/>
  <c r="P80" i="1"/>
  <c r="V79" i="1"/>
  <c r="U79" i="1"/>
  <c r="T79" i="1"/>
  <c r="S79" i="1"/>
  <c r="R79" i="1"/>
  <c r="Q79" i="1"/>
  <c r="P79" i="1"/>
  <c r="V78" i="1"/>
  <c r="U78" i="1"/>
  <c r="T78" i="1"/>
  <c r="S78" i="1"/>
  <c r="R78" i="1"/>
  <c r="Q78" i="1"/>
  <c r="P78" i="1"/>
  <c r="V77" i="1"/>
  <c r="U77" i="1"/>
  <c r="T77" i="1"/>
  <c r="S77" i="1"/>
  <c r="R77" i="1"/>
  <c r="Q77" i="1"/>
  <c r="P77" i="1"/>
  <c r="V76" i="1"/>
  <c r="U76" i="1"/>
  <c r="T76" i="1"/>
  <c r="S76" i="1"/>
  <c r="R76" i="1"/>
  <c r="Q76" i="1"/>
  <c r="P76" i="1"/>
  <c r="V75" i="1"/>
  <c r="U75" i="1"/>
  <c r="T75" i="1"/>
  <c r="S75" i="1"/>
  <c r="R75" i="1"/>
  <c r="Q75" i="1"/>
  <c r="P75" i="1"/>
  <c r="V74" i="1"/>
  <c r="U74" i="1"/>
  <c r="T74" i="1"/>
  <c r="S74" i="1"/>
  <c r="R74" i="1"/>
  <c r="Q74" i="1"/>
  <c r="P74" i="1"/>
  <c r="V73" i="1"/>
  <c r="U73" i="1"/>
  <c r="T73" i="1"/>
  <c r="S73" i="1"/>
  <c r="R73" i="1"/>
  <c r="Q73" i="1"/>
  <c r="P73" i="1"/>
  <c r="V72" i="1"/>
  <c r="U72" i="1"/>
  <c r="T72" i="1"/>
  <c r="S72" i="1"/>
  <c r="R72" i="1"/>
  <c r="Q72" i="1"/>
  <c r="P72" i="1"/>
  <c r="V71" i="1"/>
  <c r="U71" i="1"/>
  <c r="T71" i="1"/>
  <c r="S71" i="1"/>
  <c r="R71" i="1"/>
  <c r="Q71" i="1"/>
  <c r="P71" i="1"/>
  <c r="V70" i="1"/>
  <c r="U70" i="1"/>
  <c r="T70" i="1"/>
  <c r="S70" i="1"/>
  <c r="R70" i="1"/>
  <c r="Q70" i="1"/>
  <c r="P70" i="1"/>
  <c r="V69" i="1"/>
  <c r="U69" i="1"/>
  <c r="T69" i="1"/>
  <c r="S69" i="1"/>
  <c r="R69" i="1"/>
  <c r="Q69" i="1"/>
  <c r="P69" i="1"/>
  <c r="V68" i="1"/>
  <c r="U68" i="1"/>
  <c r="T68" i="1"/>
  <c r="S68" i="1"/>
  <c r="R68" i="1"/>
  <c r="Q68" i="1"/>
  <c r="P68" i="1"/>
  <c r="V67" i="1"/>
  <c r="U67" i="1"/>
  <c r="T67" i="1"/>
  <c r="S67" i="1"/>
  <c r="R67" i="1"/>
  <c r="Q67" i="1"/>
  <c r="P67" i="1"/>
  <c r="V66" i="1"/>
  <c r="U66" i="1"/>
  <c r="T66" i="1"/>
  <c r="S66" i="1"/>
  <c r="R66" i="1"/>
  <c r="Q66" i="1"/>
  <c r="P66" i="1"/>
  <c r="V65" i="1"/>
  <c r="U65" i="1"/>
  <c r="T65" i="1"/>
  <c r="S65" i="1"/>
  <c r="R65" i="1"/>
  <c r="Q65" i="1"/>
  <c r="P65" i="1"/>
  <c r="V64" i="1"/>
  <c r="U64" i="1"/>
  <c r="T64" i="1"/>
  <c r="S64" i="1"/>
  <c r="R64" i="1"/>
  <c r="Q64" i="1"/>
  <c r="P64" i="1"/>
  <c r="V63" i="1"/>
  <c r="U63" i="1"/>
  <c r="T63" i="1"/>
  <c r="S63" i="1"/>
  <c r="R63" i="1"/>
  <c r="Q63" i="1"/>
  <c r="P63" i="1"/>
  <c r="V62" i="1"/>
  <c r="U62" i="1"/>
  <c r="T62" i="1"/>
  <c r="S62" i="1"/>
  <c r="R62" i="1"/>
  <c r="Q62" i="1"/>
  <c r="P62" i="1"/>
  <c r="V61" i="1"/>
  <c r="U61" i="1"/>
  <c r="T61" i="1"/>
  <c r="S61" i="1"/>
  <c r="R61" i="1"/>
  <c r="Q61" i="1"/>
  <c r="P61" i="1"/>
  <c r="V60" i="1"/>
  <c r="U60" i="1"/>
  <c r="T60" i="1"/>
  <c r="S60" i="1"/>
  <c r="R60" i="1"/>
  <c r="Q60" i="1"/>
  <c r="P60" i="1"/>
  <c r="V59" i="1"/>
  <c r="U59" i="1"/>
  <c r="T59" i="1"/>
  <c r="S59" i="1"/>
  <c r="R59" i="1"/>
  <c r="Q59" i="1"/>
  <c r="P59" i="1"/>
  <c r="V58" i="1"/>
  <c r="U58" i="1"/>
  <c r="T58" i="1"/>
  <c r="S58" i="1"/>
  <c r="R58" i="1"/>
  <c r="Q58" i="1"/>
  <c r="P58" i="1"/>
  <c r="V57" i="1"/>
  <c r="U57" i="1"/>
  <c r="T57" i="1"/>
  <c r="S57" i="1"/>
  <c r="R57" i="1"/>
  <c r="Q57" i="1"/>
  <c r="P57" i="1"/>
  <c r="V56" i="1"/>
  <c r="U56" i="1"/>
  <c r="T56" i="1"/>
  <c r="S56" i="1"/>
  <c r="R56" i="1"/>
  <c r="Q56" i="1"/>
  <c r="P56" i="1"/>
  <c r="V55" i="1"/>
  <c r="U55" i="1"/>
  <c r="T55" i="1"/>
  <c r="S55" i="1"/>
  <c r="R55" i="1"/>
  <c r="Q55" i="1"/>
  <c r="P55" i="1"/>
  <c r="V54" i="1"/>
  <c r="U54" i="1"/>
  <c r="T54" i="1"/>
  <c r="S54" i="1"/>
  <c r="R54" i="1"/>
  <c r="Q54" i="1"/>
  <c r="P54" i="1"/>
  <c r="V53" i="1"/>
  <c r="U53" i="1"/>
  <c r="T53" i="1"/>
  <c r="S53" i="1"/>
  <c r="R53" i="1"/>
  <c r="Q53" i="1"/>
  <c r="P53" i="1"/>
  <c r="V52" i="1"/>
  <c r="U52" i="1"/>
  <c r="T52" i="1"/>
  <c r="S52" i="1"/>
  <c r="R52" i="1"/>
  <c r="Q52" i="1"/>
  <c r="P52" i="1"/>
  <c r="V51" i="1"/>
  <c r="U51" i="1"/>
  <c r="T51" i="1"/>
  <c r="S51" i="1"/>
  <c r="R51" i="1"/>
  <c r="Q51" i="1"/>
  <c r="P51" i="1"/>
  <c r="V50" i="1"/>
  <c r="U50" i="1"/>
  <c r="T50" i="1"/>
  <c r="S50" i="1"/>
  <c r="R50" i="1"/>
  <c r="Q50" i="1"/>
  <c r="P50" i="1"/>
  <c r="V49" i="1"/>
  <c r="U49" i="1"/>
  <c r="T49" i="1"/>
  <c r="S49" i="1"/>
  <c r="R49" i="1"/>
  <c r="Q49" i="1"/>
  <c r="P49" i="1"/>
  <c r="V48" i="1"/>
  <c r="U48" i="1"/>
  <c r="T48" i="1"/>
  <c r="S48" i="1"/>
  <c r="R48" i="1"/>
  <c r="Q48" i="1"/>
  <c r="P48" i="1"/>
  <c r="V47" i="1"/>
  <c r="U47" i="1"/>
  <c r="T47" i="1"/>
  <c r="S47" i="1"/>
  <c r="R47" i="1"/>
  <c r="Q47" i="1"/>
  <c r="P47" i="1"/>
  <c r="V46" i="1"/>
  <c r="U46" i="1"/>
  <c r="T46" i="1"/>
  <c r="S46" i="1"/>
  <c r="R46" i="1"/>
  <c r="Q46" i="1"/>
  <c r="P46" i="1"/>
  <c r="V45" i="1"/>
  <c r="U45" i="1"/>
  <c r="T45" i="1"/>
  <c r="S45" i="1"/>
  <c r="R45" i="1"/>
  <c r="Q45" i="1"/>
  <c r="P45" i="1"/>
  <c r="V44" i="1"/>
  <c r="U44" i="1"/>
  <c r="T44" i="1"/>
  <c r="S44" i="1"/>
  <c r="R44" i="1"/>
  <c r="Q44" i="1"/>
  <c r="P44" i="1"/>
  <c r="V43" i="1"/>
  <c r="U43" i="1"/>
  <c r="T43" i="1"/>
  <c r="S43" i="1"/>
  <c r="R43" i="1"/>
  <c r="Q43" i="1"/>
  <c r="P43" i="1"/>
  <c r="V42" i="1"/>
  <c r="U42" i="1"/>
  <c r="T42" i="1"/>
  <c r="S42" i="1"/>
  <c r="R42" i="1"/>
  <c r="Q42" i="1"/>
  <c r="P42" i="1"/>
  <c r="V41" i="1"/>
  <c r="U41" i="1"/>
  <c r="T41" i="1"/>
  <c r="S41" i="1"/>
  <c r="R41" i="1"/>
  <c r="Q41" i="1"/>
  <c r="P41" i="1"/>
  <c r="V40" i="1"/>
  <c r="U40" i="1"/>
  <c r="T40" i="1"/>
  <c r="S40" i="1"/>
  <c r="R40" i="1"/>
  <c r="Q40" i="1"/>
  <c r="P40" i="1"/>
  <c r="V39" i="1"/>
  <c r="U39" i="1"/>
  <c r="T39" i="1"/>
  <c r="S39" i="1"/>
  <c r="R39" i="1"/>
  <c r="Q39" i="1"/>
  <c r="P39" i="1"/>
  <c r="V38" i="1"/>
  <c r="U38" i="1"/>
  <c r="T38" i="1"/>
  <c r="S38" i="1"/>
  <c r="R38" i="1"/>
  <c r="Q38" i="1"/>
  <c r="P38" i="1"/>
  <c r="V37" i="1"/>
  <c r="U37" i="1"/>
  <c r="T37" i="1"/>
  <c r="S37" i="1"/>
  <c r="R37" i="1"/>
  <c r="Q37" i="1"/>
  <c r="P37" i="1"/>
  <c r="V36" i="1"/>
  <c r="U36" i="1"/>
  <c r="T36" i="1"/>
  <c r="S36" i="1"/>
  <c r="R36" i="1"/>
  <c r="Q36" i="1"/>
  <c r="P36" i="1"/>
  <c r="V35" i="1"/>
  <c r="U35" i="1"/>
  <c r="T35" i="1"/>
  <c r="S35" i="1"/>
  <c r="R35" i="1"/>
  <c r="Q35" i="1"/>
  <c r="P35" i="1"/>
  <c r="V34" i="1"/>
  <c r="U34" i="1"/>
  <c r="T34" i="1"/>
  <c r="S34" i="1"/>
  <c r="R34" i="1"/>
  <c r="Q34" i="1"/>
  <c r="P34" i="1"/>
  <c r="V33" i="1"/>
  <c r="U33" i="1"/>
  <c r="T33" i="1"/>
  <c r="S33" i="1"/>
  <c r="R33" i="1"/>
  <c r="Q33" i="1"/>
  <c r="P33" i="1"/>
  <c r="V32" i="1"/>
  <c r="U32" i="1"/>
  <c r="T32" i="1"/>
  <c r="S32" i="1"/>
  <c r="R32" i="1"/>
  <c r="Q32" i="1"/>
  <c r="P32" i="1"/>
  <c r="V31" i="1"/>
  <c r="U31" i="1"/>
  <c r="T31" i="1"/>
  <c r="S31" i="1"/>
  <c r="R31" i="1"/>
  <c r="Q31" i="1"/>
  <c r="P31" i="1"/>
  <c r="V30" i="1"/>
  <c r="U30" i="1"/>
  <c r="T30" i="1"/>
  <c r="S30" i="1"/>
  <c r="R30" i="1"/>
  <c r="Q30" i="1"/>
  <c r="P30" i="1"/>
  <c r="V29" i="1"/>
  <c r="U29" i="1"/>
  <c r="T29" i="1"/>
  <c r="S29" i="1"/>
  <c r="R29" i="1"/>
  <c r="Q29" i="1"/>
  <c r="P29" i="1"/>
  <c r="V28" i="1"/>
  <c r="U28" i="1"/>
  <c r="T28" i="1"/>
  <c r="S28" i="1"/>
  <c r="R28" i="1"/>
  <c r="Q28" i="1"/>
  <c r="P28" i="1"/>
  <c r="V27" i="1"/>
  <c r="U27" i="1"/>
  <c r="T27" i="1"/>
  <c r="S27" i="1"/>
  <c r="R27" i="1"/>
  <c r="Q27" i="1"/>
  <c r="P27" i="1"/>
  <c r="V26" i="1"/>
  <c r="U26" i="1"/>
  <c r="T26" i="1"/>
  <c r="S26" i="1"/>
  <c r="R26" i="1"/>
  <c r="Q26" i="1"/>
  <c r="P26" i="1"/>
  <c r="V25" i="1"/>
  <c r="U25" i="1"/>
  <c r="T25" i="1"/>
  <c r="S25" i="1"/>
  <c r="R25" i="1"/>
  <c r="Q25" i="1"/>
  <c r="P25" i="1"/>
  <c r="V24" i="1"/>
  <c r="U24" i="1"/>
  <c r="T24" i="1"/>
  <c r="S24" i="1"/>
  <c r="R24" i="1"/>
  <c r="Q24" i="1"/>
  <c r="P24" i="1"/>
  <c r="V23" i="1"/>
  <c r="U23" i="1"/>
  <c r="T23" i="1"/>
  <c r="S23" i="1"/>
  <c r="R23" i="1"/>
  <c r="Q23" i="1"/>
  <c r="P23" i="1"/>
  <c r="V22" i="1"/>
  <c r="U22" i="1"/>
  <c r="T22" i="1"/>
  <c r="S22" i="1"/>
  <c r="R22" i="1"/>
  <c r="Q22" i="1"/>
  <c r="P22" i="1"/>
  <c r="V21" i="1"/>
  <c r="U21" i="1"/>
  <c r="T21" i="1"/>
  <c r="S21" i="1"/>
  <c r="R21" i="1"/>
  <c r="Q21" i="1"/>
  <c r="P21" i="1"/>
  <c r="V20" i="1"/>
  <c r="U20" i="1"/>
  <c r="T20" i="1"/>
  <c r="S20" i="1"/>
  <c r="R20" i="1"/>
  <c r="Q20" i="1"/>
  <c r="P20" i="1"/>
  <c r="V19" i="1"/>
  <c r="U19" i="1"/>
  <c r="T19" i="1"/>
  <c r="S19" i="1"/>
  <c r="R19" i="1"/>
  <c r="Q19" i="1"/>
  <c r="P19" i="1"/>
  <c r="V18" i="1"/>
  <c r="U18" i="1"/>
  <c r="T18" i="1"/>
  <c r="S18" i="1"/>
  <c r="R18" i="1"/>
  <c r="Q18" i="1"/>
  <c r="P18" i="1"/>
  <c r="V17" i="1"/>
  <c r="U17" i="1"/>
  <c r="T17" i="1"/>
  <c r="S17" i="1"/>
  <c r="R17" i="1"/>
  <c r="Q17" i="1"/>
  <c r="P17" i="1"/>
  <c r="V16" i="1"/>
  <c r="U16" i="1"/>
  <c r="T16" i="1"/>
  <c r="S16" i="1"/>
  <c r="R16" i="1"/>
  <c r="Q16" i="1"/>
  <c r="P16" i="1"/>
  <c r="V15" i="1"/>
  <c r="U15" i="1"/>
  <c r="T15" i="1"/>
  <c r="S15" i="1"/>
  <c r="R15" i="1"/>
  <c r="Q15" i="1"/>
  <c r="P15" i="1"/>
  <c r="V14" i="1"/>
  <c r="U14" i="1"/>
  <c r="T14" i="1"/>
  <c r="S14" i="1"/>
  <c r="R14" i="1"/>
  <c r="Q14" i="1"/>
  <c r="P14" i="1"/>
  <c r="V13" i="1"/>
  <c r="U13" i="1"/>
  <c r="T13" i="1"/>
  <c r="S13" i="1"/>
  <c r="R13" i="1"/>
  <c r="Q13" i="1"/>
  <c r="P13" i="1"/>
  <c r="V12" i="1"/>
  <c r="U12" i="1"/>
  <c r="T12" i="1"/>
  <c r="S12" i="1"/>
  <c r="R12" i="1"/>
  <c r="Q12" i="1"/>
  <c r="P12" i="1"/>
  <c r="V11" i="1"/>
  <c r="U11" i="1"/>
  <c r="T11" i="1"/>
  <c r="S11" i="1"/>
  <c r="R11" i="1"/>
  <c r="Q11" i="1"/>
  <c r="P11" i="1"/>
  <c r="V10" i="1"/>
  <c r="U10" i="1"/>
  <c r="T10" i="1"/>
  <c r="S10" i="1"/>
  <c r="R10" i="1"/>
  <c r="Q10" i="1"/>
  <c r="P10" i="1"/>
  <c r="V9" i="1"/>
  <c r="U9" i="1"/>
  <c r="T9" i="1"/>
  <c r="S9" i="1"/>
  <c r="R9" i="1"/>
  <c r="Q9" i="1"/>
  <c r="P9" i="1"/>
  <c r="V8" i="1"/>
  <c r="U8" i="1"/>
  <c r="T8" i="1"/>
  <c r="S8" i="1"/>
  <c r="R8" i="1"/>
  <c r="Q8" i="1"/>
  <c r="P8" i="1"/>
  <c r="V7" i="1"/>
  <c r="U7" i="1"/>
  <c r="T7" i="1"/>
  <c r="S7" i="1"/>
  <c r="R7" i="1"/>
  <c r="Q7" i="1"/>
  <c r="P7" i="1"/>
  <c r="V6" i="1"/>
  <c r="U6" i="1"/>
  <c r="T6" i="1"/>
  <c r="S6" i="1"/>
  <c r="R6" i="1"/>
  <c r="Q6" i="1"/>
  <c r="P6" i="1"/>
  <c r="V5" i="1"/>
  <c r="U5" i="1"/>
  <c r="T5" i="1"/>
  <c r="S5" i="1"/>
  <c r="R5" i="1"/>
  <c r="Q5" i="1"/>
  <c r="P5" i="1"/>
  <c r="V4" i="1"/>
  <c r="U4" i="1"/>
  <c r="T4" i="1"/>
  <c r="S4" i="1"/>
  <c r="R4" i="1"/>
  <c r="Q4" i="1"/>
  <c r="P4" i="1"/>
  <c r="V3" i="1"/>
  <c r="U3" i="1"/>
  <c r="T3" i="1"/>
  <c r="S3" i="1"/>
  <c r="R3" i="1"/>
  <c r="Q3" i="1"/>
  <c r="P3" i="1"/>
  <c r="V2" i="1"/>
  <c r="U2" i="1"/>
  <c r="T2" i="1"/>
  <c r="S2" i="1"/>
  <c r="R2" i="1"/>
  <c r="Q2" i="1"/>
  <c r="P2" i="1"/>
</calcChain>
</file>

<file path=xl/sharedStrings.xml><?xml version="1.0" encoding="utf-8"?>
<sst xmlns="http://schemas.openxmlformats.org/spreadsheetml/2006/main" count="3072" uniqueCount="29">
  <si>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</si>
  <si>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</si>
  <si>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</si>
  <si>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</si>
  <si>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</si>
  <si>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</si>
  <si>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</si>
  <si>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</si>
  <si>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</si>
  <si>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</si>
  <si>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</si>
  <si>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</si>
  <si>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</si>
  <si>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</si>
  <si>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</si>
  <si>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Click_Through_Rate</t>
  </si>
  <si>
    <t>Click_Per_Cost</t>
  </si>
  <si>
    <t>Conversion_Rate</t>
  </si>
  <si>
    <t>Cost_Per_Acquisition</t>
  </si>
  <si>
    <t>Approval_Rate</t>
  </si>
  <si>
    <t>Cost_Per_Impression</t>
  </si>
  <si>
    <t>Return_On_Investment</t>
  </si>
  <si>
    <t>30-34</t>
  </si>
  <si>
    <t>M</t>
  </si>
  <si>
    <t>35-39</t>
  </si>
  <si>
    <t>40-44</t>
  </si>
  <si>
    <t>45-49</t>
  </si>
  <si>
    <t>F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</si>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</sst>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9">
    <dxf>
      <numFmt numFmtId="14" formatCode="0.00%"/>
    </dxf>
    <dxf>
      <numFmt numFmtId="165" formatCode="&quot;$&quot;#,##0.00"/>
    </dxf>
    <dxf>
      <numFmt numFmtId="13" formatCode="0%"/>
    </dxf>
    <dxf>
      <numFmt numFmtId="165" formatCode="&quot;$&quot;#,##0.00"/>
    </dxf>
    <dxf>
      <numFmt numFmtId="13" formatCode="0%"/>
    </dxf>
    <dxf>
      <numFmt numFmtId="165" formatCode="&quot;$&quot;#,##0.00"/>
    </dxf>
    <dxf>
      <numFmt numFmtId="2" formatCode="0.00"/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25BB5-F546-4927-A695-164DB07E34FD}" name="Table4" displayName="Table4" ref="A1:V1146" totalsRowShown="0">
  <autoFilter ref="A1:V1146" xr:uid="{6D025BB5-F546-4927-A695-164DB07E34FD}"/>
  <tableColumns count="22">
    <tableColumn id="1" xr3:uid="{59DB95F5-201F-407F-ADEE-87B64D9E9C9B}" name="ad_id"/>
    <tableColumn id="2" xr3:uid="{8FBC7196-528C-4ABE-A4ED-3754608B928E}" name="reporting_start" dataDxfId="8"/>
    <tableColumn id="3" xr3:uid="{75B7F60E-9C2F-493A-BA46-A39BC035B50C}" name="reporting_end" dataDxfId="7"/>
    <tableColumn id="4" xr3:uid="{6C5AEC10-5373-4B41-BEF0-015E254D5C9E}" name="campaign_id"/>
    <tableColumn id="5" xr3:uid="{49856943-F9B4-4D34-91B2-05DC9CF01237}" name="fb_campaign_id"/>
    <tableColumn id="6" xr3:uid="{B2018117-D27F-451F-BE55-9F37374148DA}" name="age"/>
    <tableColumn id="7" xr3:uid="{4D520ADC-DDDC-480C-9A14-A25783CCB27E}" name="gender"/>
    <tableColumn id="8" xr3:uid="{29493EA4-3142-41CD-82EB-F4191B025B9B}" name="interest1"/>
    <tableColumn id="9" xr3:uid="{CACB3E21-B193-4E96-A0ED-69C844BDB1EA}" name="interest2"/>
    <tableColumn id="10" xr3:uid="{F1880AB8-F0BA-47CF-ABD9-539723B05901}" name="interest3"/>
    <tableColumn id="11" xr3:uid="{8EE00B68-018E-4738-8EBE-5E2370929714}" name="impressions"/>
    <tableColumn id="12" xr3:uid="{53248D2A-2F14-4505-B4BB-F618EE37B164}" name="clicks"/>
    <tableColumn id="13" xr3:uid="{8F180FEB-23EB-4A1B-82BC-D9774B46FD3C}" name="spent"/>
    <tableColumn id="14" xr3:uid="{3DE23FCF-09A1-49CE-809C-1E46E080E136}" name="total_conversion"/>
    <tableColumn id="15" xr3:uid="{84B5F433-1F5F-4BBC-8221-4308381D254D}" name="approved_conversion"/>
    <tableColumn id="17" xr3:uid="{61DAABAA-E410-4B02-B236-09ACF7ECF1A1}" name="Click_Through_Rate" dataDxfId="6">
      <calculatedColumnFormula>IF(K2&gt;0, (L2/K2)*100, 0)</calculatedColumnFormula>
    </tableColumn>
    <tableColumn id="18" xr3:uid="{BC19EF8A-C18B-4B5B-AE5C-496F94E951FA}" name="Click_Per_Cost" dataDxfId="5">
      <calculatedColumnFormula>IF(L2&gt;0, M2/L2, 0)</calculatedColumnFormula>
    </tableColumn>
    <tableColumn id="19" xr3:uid="{2F2642A8-4A3E-444B-8FF2-4AF18448596F}" name="Conversion_Rate" dataDxfId="4">
      <calculatedColumnFormula>IF(L2&gt;0, O2/L2, 0)</calculatedColumnFormula>
    </tableColumn>
    <tableColumn id="20" xr3:uid="{4521B6F9-F0DE-42B6-B71A-DE996A6A6B92}" name="Cost_Per_Acquisition" dataDxfId="3">
      <calculatedColumnFormula>IF(O2&gt;0, M2/O2, 0)</calculatedColumnFormula>
    </tableColumn>
    <tableColumn id="21" xr3:uid="{2D37D7FC-10C3-4891-936B-AE94DA226B8C}" name="Approval_Rate" dataDxfId="2">
      <calculatedColumnFormula>IF(N2&gt;0, O2/N2, 0)</calculatedColumnFormula>
    </tableColumn>
    <tableColumn id="22" xr3:uid="{4AA74FFD-D0CB-4591-91FB-EC64565A7075}" name="Cost_Per_Impression" dataDxfId="1">
      <calculatedColumnFormula>IF(K2&gt;0, (M2/K2)*1000, 0)</calculatedColumnFormula>
    </tableColumn>
    <tableColumn id="23" xr3:uid="{6A566583-0D5E-43BA-81D8-8B3704487E71}" name="Return_On_Investment" dataDxfId="0">
      <calculatedColumnFormula>IF(M2&gt;0, ((O2*50)-M2)/M2,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79EE-3C7A-4FBD-A935-F9D733C8D4A7}">
  <dimension ref="A1:V1146"/>
  <sheetViews>
    <sheetView tabSelected="1" zoomScale="104" workbookViewId="0">
      <selection activeCell="K988" sqref="K988"/>
    </sheetView>
  </sheetViews>
  <sheetFormatPr defaultRowHeight="14.4" x14ac:dyDescent="0.3"/>
  <cols>
    <col min="2" max="2" width="15.44140625" style="1" customWidth="1"/>
    <col min="3" max="3" width="14.88671875" style="1" customWidth="1"/>
    <col min="4" max="4" width="13.6640625" customWidth="1"/>
    <col min="5" max="5" width="16.44140625" customWidth="1"/>
    <col min="8" max="10" width="10.21875" customWidth="1"/>
    <col min="11" max="11" width="12.77734375" customWidth="1"/>
    <col min="14" max="14" width="17" customWidth="1"/>
    <col min="15" max="15" width="21.21875" customWidth="1"/>
    <col min="16" max="16" width="8.88671875" style="2"/>
    <col min="17" max="17" width="8.88671875" style="3"/>
    <col min="18" max="18" width="8.88671875" style="4"/>
    <col min="19" max="19" width="8.88671875" style="3"/>
    <col min="20" max="20" width="9.5546875" style="4" customWidth="1"/>
    <col min="21" max="21" width="8.88671875" style="3"/>
    <col min="22" max="22" width="10" style="5" bestFit="1" customWidth="1"/>
  </cols>
  <sheetData>
    <row r="1" spans="1:22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5" t="s">
        <v>21</v>
      </c>
    </row>
    <row r="2" spans="1:22" x14ac:dyDescent="0.3">
      <c r="A2">
        <v>708746</v>
      </c>
      <c r="B2" s="1">
        <v>42964</v>
      </c>
      <c r="C2" s="1">
        <v>42964</v>
      </c>
      <c r="D2">
        <v>916</v>
      </c>
      <c r="E2">
        <v>103916</v>
      </c>
      <c r="F2" t="s">
        <v>22</v>
      </c>
      <c r="G2" t="s">
        <v>23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  <c r="P2" s="2">
        <f t="shared" ref="P2:P65" si="0">IF(K2&gt;0, (L2/K2)*100, 0)</f>
        <v>1.3605442176870748E-2</v>
      </c>
      <c r="Q2" s="3">
        <f t="shared" ref="Q2:Q65" si="1">IF(L2&gt;0, M2/L2, 0)</f>
        <v>1.4299999480000001</v>
      </c>
      <c r="R2" s="4">
        <f>IFERROR(O2/L2, 0)</f>
        <v>1</v>
      </c>
      <c r="S2" s="3">
        <f t="shared" ref="S2:S65" si="2">IF(O2&gt;0, M2/O2, 0)</f>
        <v>1.4299999480000001</v>
      </c>
      <c r="T2" s="4">
        <f t="shared" ref="T2:T65" si="3">IF(N2&gt;0, O2/N2, 0)</f>
        <v>0.5</v>
      </c>
      <c r="U2" s="3">
        <f t="shared" ref="U2:U65" si="4">IF(K2&gt;0, (M2/K2)*1000, 0)</f>
        <v>0.19455781605442177</v>
      </c>
      <c r="V2" s="5">
        <f t="shared" ref="V2:V65" si="5">IF(M2&gt;0, ((O2*50)-M2)/M2, 0)</f>
        <v>33.965036236490825</v>
      </c>
    </row>
    <row r="3" spans="1:22" x14ac:dyDescent="0.3">
      <c r="A3">
        <v>708749</v>
      </c>
      <c r="B3" s="1">
        <v>42964</v>
      </c>
      <c r="C3" s="1">
        <v>42964</v>
      </c>
      <c r="D3">
        <v>916</v>
      </c>
      <c r="E3">
        <v>103917</v>
      </c>
      <c r="F3" t="s">
        <v>22</v>
      </c>
      <c r="G3" t="s">
        <v>23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  <c r="P3" s="2">
        <f t="shared" si="0"/>
        <v>1.1197581322434353E-2</v>
      </c>
      <c r="Q3" s="3">
        <f t="shared" si="1"/>
        <v>0.91000001149999998</v>
      </c>
      <c r="R3" s="4">
        <f t="shared" ref="R3:R66" si="6">IF(L3&gt;0, O3/L3, 0)</f>
        <v>0</v>
      </c>
      <c r="S3" s="3">
        <f t="shared" si="2"/>
        <v>0</v>
      </c>
      <c r="T3" s="4">
        <f t="shared" si="3"/>
        <v>0</v>
      </c>
      <c r="U3" s="3">
        <f t="shared" si="4"/>
        <v>0.10189799132187448</v>
      </c>
      <c r="V3" s="5">
        <f t="shared" si="5"/>
        <v>-1</v>
      </c>
    </row>
    <row r="4" spans="1:22" x14ac:dyDescent="0.3">
      <c r="A4">
        <v>708771</v>
      </c>
      <c r="B4" s="1">
        <v>42964</v>
      </c>
      <c r="C4" s="1">
        <v>42964</v>
      </c>
      <c r="D4">
        <v>916</v>
      </c>
      <c r="E4">
        <v>103920</v>
      </c>
      <c r="F4" t="s">
        <v>22</v>
      </c>
      <c r="G4" t="s">
        <v>23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  <c r="P4" s="2">
        <f t="shared" si="0"/>
        <v>0</v>
      </c>
      <c r="Q4" s="3">
        <f t="shared" si="1"/>
        <v>0</v>
      </c>
      <c r="R4" s="4">
        <f t="shared" si="6"/>
        <v>0</v>
      </c>
      <c r="S4" s="3">
        <f t="shared" si="2"/>
        <v>0</v>
      </c>
      <c r="T4" s="4">
        <f t="shared" si="3"/>
        <v>0</v>
      </c>
      <c r="U4" s="3">
        <f t="shared" si="4"/>
        <v>0</v>
      </c>
      <c r="V4" s="5">
        <f t="shared" si="5"/>
        <v>0</v>
      </c>
    </row>
    <row r="5" spans="1:22" x14ac:dyDescent="0.3">
      <c r="A5">
        <v>708815</v>
      </c>
      <c r="B5" s="1">
        <v>42977</v>
      </c>
      <c r="C5" s="1">
        <v>42977</v>
      </c>
      <c r="D5">
        <v>916</v>
      </c>
      <c r="E5">
        <v>103928</v>
      </c>
      <c r="F5" t="s">
        <v>22</v>
      </c>
      <c r="G5" t="s">
        <v>23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  <c r="P5" s="2">
        <f t="shared" si="0"/>
        <v>2.3479690068091103E-2</v>
      </c>
      <c r="Q5" s="3">
        <f t="shared" si="1"/>
        <v>1.25</v>
      </c>
      <c r="R5" s="4">
        <f t="shared" si="6"/>
        <v>0</v>
      </c>
      <c r="S5" s="3">
        <f t="shared" si="2"/>
        <v>0</v>
      </c>
      <c r="T5" s="4">
        <f t="shared" si="3"/>
        <v>0</v>
      </c>
      <c r="U5" s="3">
        <f t="shared" si="4"/>
        <v>0.29349612585113877</v>
      </c>
      <c r="V5" s="5">
        <f t="shared" si="5"/>
        <v>-1</v>
      </c>
    </row>
    <row r="6" spans="1:22" x14ac:dyDescent="0.3">
      <c r="A6">
        <v>708818</v>
      </c>
      <c r="B6" s="1">
        <v>42964</v>
      </c>
      <c r="C6" s="1">
        <v>42964</v>
      </c>
      <c r="D6">
        <v>916</v>
      </c>
      <c r="E6">
        <v>103928</v>
      </c>
      <c r="F6" t="s">
        <v>22</v>
      </c>
      <c r="G6" t="s">
        <v>23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  <c r="P6" s="2">
        <f t="shared" si="0"/>
        <v>2.4195499637067505E-2</v>
      </c>
      <c r="Q6" s="3">
        <f t="shared" si="1"/>
        <v>1.289999962</v>
      </c>
      <c r="R6" s="4">
        <f t="shared" si="6"/>
        <v>1</v>
      </c>
      <c r="S6" s="3">
        <f t="shared" si="2"/>
        <v>1.289999962</v>
      </c>
      <c r="T6" s="4">
        <f t="shared" si="3"/>
        <v>1</v>
      </c>
      <c r="U6" s="3">
        <f t="shared" si="4"/>
        <v>0.31212193612388095</v>
      </c>
      <c r="V6" s="5">
        <f t="shared" si="5"/>
        <v>37.759691064238957</v>
      </c>
    </row>
    <row r="7" spans="1:22" x14ac:dyDescent="0.3">
      <c r="A7">
        <v>708820</v>
      </c>
      <c r="B7" s="1">
        <v>42964</v>
      </c>
      <c r="C7" s="1">
        <v>42964</v>
      </c>
      <c r="D7">
        <v>916</v>
      </c>
      <c r="E7">
        <v>103929</v>
      </c>
      <c r="F7" t="s">
        <v>22</v>
      </c>
      <c r="G7" t="s">
        <v>23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  <c r="P7" s="2">
        <f t="shared" si="0"/>
        <v>0</v>
      </c>
      <c r="Q7" s="3">
        <f t="shared" si="1"/>
        <v>0</v>
      </c>
      <c r="R7" s="4">
        <f t="shared" si="6"/>
        <v>0</v>
      </c>
      <c r="S7" s="3">
        <f t="shared" si="2"/>
        <v>0</v>
      </c>
      <c r="T7" s="4">
        <f t="shared" si="3"/>
        <v>1</v>
      </c>
      <c r="U7" s="3">
        <f t="shared" si="4"/>
        <v>0</v>
      </c>
      <c r="V7" s="5">
        <f t="shared" si="5"/>
        <v>0</v>
      </c>
    </row>
    <row r="8" spans="1:22" x14ac:dyDescent="0.3">
      <c r="A8">
        <v>708889</v>
      </c>
      <c r="B8" s="1">
        <v>42964</v>
      </c>
      <c r="C8" s="1">
        <v>42964</v>
      </c>
      <c r="D8">
        <v>916</v>
      </c>
      <c r="E8">
        <v>103940</v>
      </c>
      <c r="F8" t="s">
        <v>22</v>
      </c>
      <c r="G8" t="s">
        <v>23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  <c r="P8" s="2">
        <f t="shared" si="0"/>
        <v>1.921229586935639E-2</v>
      </c>
      <c r="Q8" s="3">
        <f t="shared" si="1"/>
        <v>1.5899999936666667</v>
      </c>
      <c r="R8" s="4">
        <f t="shared" si="6"/>
        <v>0</v>
      </c>
      <c r="S8" s="3">
        <f t="shared" si="2"/>
        <v>0</v>
      </c>
      <c r="T8" s="4">
        <f t="shared" si="3"/>
        <v>0</v>
      </c>
      <c r="U8" s="3">
        <f t="shared" si="4"/>
        <v>0.30547550310598787</v>
      </c>
      <c r="V8" s="5">
        <f t="shared" si="5"/>
        <v>-1</v>
      </c>
    </row>
    <row r="9" spans="1:22" x14ac:dyDescent="0.3">
      <c r="A9">
        <v>708895</v>
      </c>
      <c r="B9" s="1">
        <v>42964</v>
      </c>
      <c r="C9" s="1">
        <v>42964</v>
      </c>
      <c r="D9">
        <v>916</v>
      </c>
      <c r="E9">
        <v>103941</v>
      </c>
      <c r="F9" t="s">
        <v>22</v>
      </c>
      <c r="G9" t="s">
        <v>23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  <c r="P9" s="2">
        <f t="shared" si="0"/>
        <v>9.131586156515388E-3</v>
      </c>
      <c r="Q9" s="3">
        <f t="shared" si="1"/>
        <v>1.269999981</v>
      </c>
      <c r="R9" s="4">
        <f t="shared" si="6"/>
        <v>1</v>
      </c>
      <c r="S9" s="3">
        <f t="shared" si="2"/>
        <v>1.269999981</v>
      </c>
      <c r="T9" s="4">
        <f t="shared" si="3"/>
        <v>1</v>
      </c>
      <c r="U9" s="3">
        <f t="shared" si="4"/>
        <v>0.11597114245274404</v>
      </c>
      <c r="V9" s="5">
        <f t="shared" si="5"/>
        <v>38.370079329158671</v>
      </c>
    </row>
    <row r="10" spans="1:22" x14ac:dyDescent="0.3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t="s">
        <v>22</v>
      </c>
      <c r="G10" t="s">
        <v>23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  <c r="P10" s="2">
        <f t="shared" si="0"/>
        <v>4.2462845010615716E-2</v>
      </c>
      <c r="Q10" s="3">
        <f t="shared" si="1"/>
        <v>1.5</v>
      </c>
      <c r="R10" s="4">
        <f t="shared" si="6"/>
        <v>0</v>
      </c>
      <c r="S10" s="3">
        <f t="shared" si="2"/>
        <v>0</v>
      </c>
      <c r="T10" s="4">
        <f t="shared" si="3"/>
        <v>0</v>
      </c>
      <c r="U10" s="3">
        <f t="shared" si="4"/>
        <v>0.63694267515923564</v>
      </c>
      <c r="V10" s="5">
        <f t="shared" si="5"/>
        <v>-1</v>
      </c>
    </row>
    <row r="11" spans="1:22" x14ac:dyDescent="0.3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t="s">
        <v>22</v>
      </c>
      <c r="G11" t="s">
        <v>23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  <c r="P11" s="2">
        <f t="shared" si="0"/>
        <v>3.157230056830141E-2</v>
      </c>
      <c r="Q11" s="3">
        <f t="shared" si="1"/>
        <v>1.0533333223333334</v>
      </c>
      <c r="R11" s="4">
        <f t="shared" si="6"/>
        <v>0</v>
      </c>
      <c r="S11" s="3">
        <f t="shared" si="2"/>
        <v>0</v>
      </c>
      <c r="T11" s="4">
        <f t="shared" si="3"/>
        <v>0</v>
      </c>
      <c r="U11" s="3">
        <f t="shared" si="4"/>
        <v>0.33256156251315511</v>
      </c>
      <c r="V11" s="5">
        <f t="shared" si="5"/>
        <v>-1</v>
      </c>
    </row>
    <row r="12" spans="1:22" x14ac:dyDescent="0.3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t="s">
        <v>22</v>
      </c>
      <c r="G12" t="s">
        <v>23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  <c r="P12" s="2">
        <f t="shared" si="0"/>
        <v>0</v>
      </c>
      <c r="Q12" s="3">
        <f t="shared" si="1"/>
        <v>0</v>
      </c>
      <c r="R12" s="4">
        <f t="shared" si="6"/>
        <v>0</v>
      </c>
      <c r="S12" s="3">
        <f t="shared" si="2"/>
        <v>0</v>
      </c>
      <c r="T12" s="4">
        <f t="shared" si="3"/>
        <v>0</v>
      </c>
      <c r="U12" s="3">
        <f t="shared" si="4"/>
        <v>0</v>
      </c>
      <c r="V12" s="5">
        <f t="shared" si="5"/>
        <v>0</v>
      </c>
    </row>
    <row r="13" spans="1:22" x14ac:dyDescent="0.3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t="s">
        <v>22</v>
      </c>
      <c r="G13" t="s">
        <v>23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  <c r="P13" s="2">
        <f t="shared" si="0"/>
        <v>0</v>
      </c>
      <c r="Q13" s="3">
        <f t="shared" si="1"/>
        <v>0</v>
      </c>
      <c r="R13" s="4">
        <f t="shared" si="6"/>
        <v>0</v>
      </c>
      <c r="S13" s="3">
        <f t="shared" si="2"/>
        <v>0</v>
      </c>
      <c r="T13" s="4">
        <f t="shared" si="3"/>
        <v>0</v>
      </c>
      <c r="U13" s="3">
        <f t="shared" si="4"/>
        <v>0</v>
      </c>
      <c r="V13" s="5">
        <f t="shared" si="5"/>
        <v>0</v>
      </c>
    </row>
    <row r="14" spans="1:22" x14ac:dyDescent="0.3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t="s">
        <v>22</v>
      </c>
      <c r="G14" t="s">
        <v>23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  <c r="P14" s="2">
        <f t="shared" si="0"/>
        <v>0</v>
      </c>
      <c r="Q14" s="3">
        <f t="shared" si="1"/>
        <v>0</v>
      </c>
      <c r="R14" s="4">
        <f t="shared" si="6"/>
        <v>0</v>
      </c>
      <c r="S14" s="3">
        <f t="shared" si="2"/>
        <v>0</v>
      </c>
      <c r="T14" s="4">
        <f t="shared" si="3"/>
        <v>0</v>
      </c>
      <c r="U14" s="3">
        <f t="shared" si="4"/>
        <v>0</v>
      </c>
      <c r="V14" s="5">
        <f t="shared" si="5"/>
        <v>0</v>
      </c>
    </row>
    <row r="15" spans="1:22" x14ac:dyDescent="0.3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t="s">
        <v>22</v>
      </c>
      <c r="G15" t="s">
        <v>23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  <c r="P15" s="2">
        <f t="shared" si="0"/>
        <v>0</v>
      </c>
      <c r="Q15" s="3">
        <f t="shared" si="1"/>
        <v>0</v>
      </c>
      <c r="R15" s="4">
        <f t="shared" si="6"/>
        <v>0</v>
      </c>
      <c r="S15" s="3">
        <f t="shared" si="2"/>
        <v>0</v>
      </c>
      <c r="T15" s="4">
        <f t="shared" si="3"/>
        <v>0</v>
      </c>
      <c r="U15" s="3">
        <f t="shared" si="4"/>
        <v>0</v>
      </c>
      <c r="V15" s="5">
        <f t="shared" si="5"/>
        <v>0</v>
      </c>
    </row>
    <row r="16" spans="1:22" x14ac:dyDescent="0.3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t="s">
        <v>22</v>
      </c>
      <c r="G16" t="s">
        <v>23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  <c r="P16" s="2">
        <f t="shared" si="0"/>
        <v>4.7719680959847299E-2</v>
      </c>
      <c r="Q16" s="3">
        <f t="shared" si="1"/>
        <v>1.4685714585714287</v>
      </c>
      <c r="R16" s="4">
        <f t="shared" si="6"/>
        <v>0.14285714285714285</v>
      </c>
      <c r="S16" s="3">
        <f t="shared" si="2"/>
        <v>10.280000210000001</v>
      </c>
      <c r="T16" s="4">
        <f t="shared" si="3"/>
        <v>1</v>
      </c>
      <c r="U16" s="3">
        <f t="shared" si="4"/>
        <v>0.70079761469766177</v>
      </c>
      <c r="V16" s="5">
        <f t="shared" si="5"/>
        <v>3.8638131302139342</v>
      </c>
    </row>
    <row r="17" spans="1:22" x14ac:dyDescent="0.3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t="s">
        <v>22</v>
      </c>
      <c r="G17" t="s">
        <v>23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  <c r="P17" s="2">
        <f t="shared" si="0"/>
        <v>0</v>
      </c>
      <c r="Q17" s="3">
        <f t="shared" si="1"/>
        <v>0</v>
      </c>
      <c r="R17" s="4">
        <f t="shared" si="6"/>
        <v>0</v>
      </c>
      <c r="S17" s="3">
        <f t="shared" si="2"/>
        <v>0</v>
      </c>
      <c r="T17" s="4">
        <f t="shared" si="3"/>
        <v>1</v>
      </c>
      <c r="U17" s="3">
        <f t="shared" si="4"/>
        <v>0</v>
      </c>
      <c r="V17" s="5">
        <f t="shared" si="5"/>
        <v>0</v>
      </c>
    </row>
    <row r="18" spans="1:22" x14ac:dyDescent="0.3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t="s">
        <v>22</v>
      </c>
      <c r="G18" t="s">
        <v>23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  <c r="P18" s="2">
        <f t="shared" si="0"/>
        <v>4.3383947939262472E-2</v>
      </c>
      <c r="Q18" s="3">
        <f t="shared" si="1"/>
        <v>0.56999999300000004</v>
      </c>
      <c r="R18" s="4">
        <f t="shared" si="6"/>
        <v>0</v>
      </c>
      <c r="S18" s="3">
        <f t="shared" si="2"/>
        <v>0</v>
      </c>
      <c r="T18" s="4">
        <f t="shared" si="3"/>
        <v>0</v>
      </c>
      <c r="U18" s="3">
        <f t="shared" si="4"/>
        <v>0.24728850021691978</v>
      </c>
      <c r="V18" s="5">
        <f t="shared" si="5"/>
        <v>-1</v>
      </c>
    </row>
    <row r="19" spans="1:22" x14ac:dyDescent="0.3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t="s">
        <v>22</v>
      </c>
      <c r="G19" t="s">
        <v>23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  <c r="P19" s="2">
        <f t="shared" si="0"/>
        <v>0</v>
      </c>
      <c r="Q19" s="3">
        <f t="shared" si="1"/>
        <v>0</v>
      </c>
      <c r="R19" s="4">
        <f t="shared" si="6"/>
        <v>0</v>
      </c>
      <c r="S19" s="3">
        <f t="shared" si="2"/>
        <v>0</v>
      </c>
      <c r="T19" s="4">
        <f t="shared" si="3"/>
        <v>1</v>
      </c>
      <c r="U19" s="3">
        <f t="shared" si="4"/>
        <v>0</v>
      </c>
      <c r="V19" s="5">
        <f t="shared" si="5"/>
        <v>0</v>
      </c>
    </row>
    <row r="20" spans="1:22" x14ac:dyDescent="0.3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t="s">
        <v>24</v>
      </c>
      <c r="G20" t="s">
        <v>23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  <c r="P20" s="2">
        <f t="shared" si="0"/>
        <v>2.1612275772638859E-2</v>
      </c>
      <c r="Q20" s="3">
        <f t="shared" si="1"/>
        <v>1.690000057</v>
      </c>
      <c r="R20" s="4">
        <f t="shared" si="6"/>
        <v>0</v>
      </c>
      <c r="S20" s="3">
        <f t="shared" si="2"/>
        <v>0</v>
      </c>
      <c r="T20" s="4">
        <f t="shared" si="3"/>
        <v>0</v>
      </c>
      <c r="U20" s="3">
        <f t="shared" si="4"/>
        <v>0.36524747287659393</v>
      </c>
      <c r="V20" s="5">
        <f t="shared" si="5"/>
        <v>-1</v>
      </c>
    </row>
    <row r="21" spans="1:22" x14ac:dyDescent="0.3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t="s">
        <v>24</v>
      </c>
      <c r="G21" t="s">
        <v>23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4.6300001139999996</v>
      </c>
      <c r="N21">
        <v>2</v>
      </c>
      <c r="O21">
        <v>1</v>
      </c>
      <c r="P21" s="2">
        <f t="shared" si="0"/>
        <v>1.9024065442785124E-2</v>
      </c>
      <c r="Q21" s="3">
        <f t="shared" si="1"/>
        <v>1.1575000284999999</v>
      </c>
      <c r="R21" s="4">
        <f t="shared" si="6"/>
        <v>0.25</v>
      </c>
      <c r="S21" s="3">
        <f t="shared" si="2"/>
        <v>4.6300001139999996</v>
      </c>
      <c r="T21" s="4">
        <f t="shared" si="3"/>
        <v>0.5</v>
      </c>
      <c r="U21" s="3">
        <f t="shared" si="4"/>
        <v>0.22020356292209642</v>
      </c>
      <c r="V21" s="5">
        <f t="shared" si="5"/>
        <v>9.7991358032178244</v>
      </c>
    </row>
    <row r="22" spans="1:22" x14ac:dyDescent="0.3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t="s">
        <v>24</v>
      </c>
      <c r="G22" t="s">
        <v>23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  <c r="P22" s="2">
        <f t="shared" si="0"/>
        <v>0</v>
      </c>
      <c r="Q22" s="3">
        <f t="shared" si="1"/>
        <v>0</v>
      </c>
      <c r="R22" s="4">
        <f t="shared" si="6"/>
        <v>0</v>
      </c>
      <c r="S22" s="3">
        <f t="shared" si="2"/>
        <v>0</v>
      </c>
      <c r="T22" s="4">
        <f t="shared" si="3"/>
        <v>1</v>
      </c>
      <c r="U22" s="3">
        <f t="shared" si="4"/>
        <v>0</v>
      </c>
      <c r="V22" s="5">
        <f t="shared" si="5"/>
        <v>0</v>
      </c>
    </row>
    <row r="23" spans="1:22" x14ac:dyDescent="0.3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t="s">
        <v>24</v>
      </c>
      <c r="G23" t="s">
        <v>23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  <c r="P23" s="2">
        <f t="shared" si="0"/>
        <v>2.8042624789680313E-2</v>
      </c>
      <c r="Q23" s="3">
        <f t="shared" si="1"/>
        <v>1.3049999475</v>
      </c>
      <c r="R23" s="4">
        <f t="shared" si="6"/>
        <v>0</v>
      </c>
      <c r="S23" s="3">
        <f t="shared" si="2"/>
        <v>0</v>
      </c>
      <c r="T23" s="4">
        <f t="shared" si="3"/>
        <v>0</v>
      </c>
      <c r="U23" s="3">
        <f t="shared" si="4"/>
        <v>0.36595623878295008</v>
      </c>
      <c r="V23" s="5">
        <f t="shared" si="5"/>
        <v>-1</v>
      </c>
    </row>
    <row r="24" spans="1:22" x14ac:dyDescent="0.3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t="s">
        <v>24</v>
      </c>
      <c r="G24" t="s">
        <v>23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  <c r="P24" s="2">
        <f t="shared" si="0"/>
        <v>1.6406890894175553E-2</v>
      </c>
      <c r="Q24" s="3">
        <f t="shared" si="1"/>
        <v>1.5249999759999999</v>
      </c>
      <c r="R24" s="4">
        <f t="shared" si="6"/>
        <v>0</v>
      </c>
      <c r="S24" s="3">
        <f t="shared" si="2"/>
        <v>0</v>
      </c>
      <c r="T24" s="4">
        <f t="shared" si="3"/>
        <v>0</v>
      </c>
      <c r="U24" s="3">
        <f t="shared" si="4"/>
        <v>0.25020508219852333</v>
      </c>
      <c r="V24" s="5">
        <f t="shared" si="5"/>
        <v>-1</v>
      </c>
    </row>
    <row r="25" spans="1:22" x14ac:dyDescent="0.3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t="s">
        <v>24</v>
      </c>
      <c r="G25" t="s">
        <v>23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  <c r="P25" s="2">
        <f t="shared" si="0"/>
        <v>1.6402854096612809E-2</v>
      </c>
      <c r="Q25" s="3">
        <f t="shared" si="1"/>
        <v>1.5299999715000001</v>
      </c>
      <c r="R25" s="4">
        <f t="shared" si="6"/>
        <v>0.5</v>
      </c>
      <c r="S25" s="3">
        <f t="shared" si="2"/>
        <v>3.0599999430000002</v>
      </c>
      <c r="T25" s="4">
        <f t="shared" si="3"/>
        <v>1</v>
      </c>
      <c r="U25" s="3">
        <f t="shared" si="4"/>
        <v>0.25096366300336259</v>
      </c>
      <c r="V25" s="5">
        <f t="shared" si="5"/>
        <v>15.339869585415871</v>
      </c>
    </row>
    <row r="26" spans="1:22" x14ac:dyDescent="0.3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t="s">
        <v>24</v>
      </c>
      <c r="G26" t="s">
        <v>23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  <c r="P26" s="2">
        <f t="shared" si="0"/>
        <v>0</v>
      </c>
      <c r="Q26" s="3">
        <f t="shared" si="1"/>
        <v>0</v>
      </c>
      <c r="R26" s="4">
        <f t="shared" si="6"/>
        <v>0</v>
      </c>
      <c r="S26" s="3">
        <f t="shared" si="2"/>
        <v>0</v>
      </c>
      <c r="T26" s="4">
        <f t="shared" si="3"/>
        <v>1</v>
      </c>
      <c r="U26" s="3">
        <f t="shared" si="4"/>
        <v>0</v>
      </c>
      <c r="V26" s="5">
        <f t="shared" si="5"/>
        <v>0</v>
      </c>
    </row>
    <row r="27" spans="1:22" x14ac:dyDescent="0.3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t="s">
        <v>24</v>
      </c>
      <c r="G27" t="s">
        <v>23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  <c r="P27" s="2">
        <f t="shared" si="0"/>
        <v>0</v>
      </c>
      <c r="Q27" s="3">
        <f t="shared" si="1"/>
        <v>0</v>
      </c>
      <c r="R27" s="4">
        <f t="shared" si="6"/>
        <v>0</v>
      </c>
      <c r="S27" s="3">
        <f t="shared" si="2"/>
        <v>0</v>
      </c>
      <c r="T27" s="4">
        <f t="shared" si="3"/>
        <v>0</v>
      </c>
      <c r="U27" s="3">
        <f t="shared" si="4"/>
        <v>0</v>
      </c>
      <c r="V27" s="5">
        <f t="shared" si="5"/>
        <v>0</v>
      </c>
    </row>
    <row r="28" spans="1:22" x14ac:dyDescent="0.3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t="s">
        <v>24</v>
      </c>
      <c r="G28" t="s">
        <v>23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  <c r="P28" s="2">
        <f t="shared" si="0"/>
        <v>2.6881720430107527E-2</v>
      </c>
      <c r="Q28" s="3">
        <f t="shared" si="1"/>
        <v>1.4900000095000001</v>
      </c>
      <c r="R28" s="4">
        <f t="shared" si="6"/>
        <v>0.5</v>
      </c>
      <c r="S28" s="3">
        <f t="shared" si="2"/>
        <v>2.9800000190000002</v>
      </c>
      <c r="T28" s="4">
        <f t="shared" si="3"/>
        <v>1</v>
      </c>
      <c r="U28" s="3">
        <f t="shared" si="4"/>
        <v>0.40053763696236561</v>
      </c>
      <c r="V28" s="5">
        <f t="shared" si="5"/>
        <v>15.778523382955722</v>
      </c>
    </row>
    <row r="29" spans="1:22" x14ac:dyDescent="0.3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t="s">
        <v>25</v>
      </c>
      <c r="G29" t="s">
        <v>23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  <c r="P29" s="2">
        <f t="shared" si="0"/>
        <v>2.0928164076806362E-2</v>
      </c>
      <c r="Q29" s="3">
        <f t="shared" si="1"/>
        <v>1.380000025</v>
      </c>
      <c r="R29" s="4">
        <f t="shared" si="6"/>
        <v>0</v>
      </c>
      <c r="S29" s="3">
        <f t="shared" si="2"/>
        <v>0</v>
      </c>
      <c r="T29" s="4">
        <f t="shared" si="3"/>
        <v>0</v>
      </c>
      <c r="U29" s="3">
        <f t="shared" si="4"/>
        <v>0.28880866949196882</v>
      </c>
      <c r="V29" s="5">
        <f t="shared" si="5"/>
        <v>-1</v>
      </c>
    </row>
    <row r="30" spans="1:22" x14ac:dyDescent="0.3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t="s">
        <v>25</v>
      </c>
      <c r="G30" t="s">
        <v>23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  <c r="P30" s="2">
        <f t="shared" si="0"/>
        <v>1.8221574344023325E-2</v>
      </c>
      <c r="Q30" s="3">
        <f t="shared" si="1"/>
        <v>0.8450000285</v>
      </c>
      <c r="R30" s="4">
        <f t="shared" si="6"/>
        <v>0.5</v>
      </c>
      <c r="S30" s="3">
        <f t="shared" si="2"/>
        <v>1.690000057</v>
      </c>
      <c r="T30" s="4">
        <f t="shared" si="3"/>
        <v>1</v>
      </c>
      <c r="U30" s="3">
        <f t="shared" si="4"/>
        <v>0.15397230840014578</v>
      </c>
      <c r="V30" s="5">
        <f t="shared" si="5"/>
        <v>28.58579781870386</v>
      </c>
    </row>
    <row r="31" spans="1:22" x14ac:dyDescent="0.3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t="s">
        <v>25</v>
      </c>
      <c r="G31" t="s">
        <v>23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  <c r="P31" s="2">
        <f t="shared" si="0"/>
        <v>0</v>
      </c>
      <c r="Q31" s="3">
        <f t="shared" si="1"/>
        <v>0</v>
      </c>
      <c r="R31" s="4">
        <f t="shared" si="6"/>
        <v>0</v>
      </c>
      <c r="S31" s="3">
        <f t="shared" si="2"/>
        <v>0</v>
      </c>
      <c r="T31" s="4">
        <f t="shared" si="3"/>
        <v>0</v>
      </c>
      <c r="U31" s="3">
        <f t="shared" si="4"/>
        <v>0</v>
      </c>
      <c r="V31" s="5">
        <f t="shared" si="5"/>
        <v>0</v>
      </c>
    </row>
    <row r="32" spans="1:22" x14ac:dyDescent="0.3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t="s">
        <v>25</v>
      </c>
      <c r="G32" t="s">
        <v>23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  <c r="P32" s="2">
        <f t="shared" si="0"/>
        <v>0</v>
      </c>
      <c r="Q32" s="3">
        <f t="shared" si="1"/>
        <v>0</v>
      </c>
      <c r="R32" s="4">
        <f t="shared" si="6"/>
        <v>0</v>
      </c>
      <c r="S32" s="3">
        <f t="shared" si="2"/>
        <v>0</v>
      </c>
      <c r="T32" s="4">
        <f t="shared" si="3"/>
        <v>1</v>
      </c>
      <c r="U32" s="3">
        <f t="shared" si="4"/>
        <v>0</v>
      </c>
      <c r="V32" s="5">
        <f t="shared" si="5"/>
        <v>0</v>
      </c>
    </row>
    <row r="33" spans="1:22" x14ac:dyDescent="0.3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t="s">
        <v>25</v>
      </c>
      <c r="G33" t="s">
        <v>23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  <c r="P33" s="2">
        <f t="shared" si="0"/>
        <v>2.939077129781249E-2</v>
      </c>
      <c r="Q33" s="3">
        <f t="shared" si="1"/>
        <v>1.2100000211428572</v>
      </c>
      <c r="R33" s="4">
        <f t="shared" si="6"/>
        <v>0.14285714285714285</v>
      </c>
      <c r="S33" s="3">
        <f t="shared" si="2"/>
        <v>8.4700001480000005</v>
      </c>
      <c r="T33" s="4">
        <f t="shared" si="3"/>
        <v>1</v>
      </c>
      <c r="U33" s="3">
        <f t="shared" si="4"/>
        <v>0.35562833891757989</v>
      </c>
      <c r="V33" s="5">
        <f t="shared" si="5"/>
        <v>4.9031876182205707</v>
      </c>
    </row>
    <row r="34" spans="1:22" x14ac:dyDescent="0.3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t="s">
        <v>26</v>
      </c>
      <c r="G34" t="s">
        <v>23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  <c r="P34" s="2">
        <f t="shared" si="0"/>
        <v>2.5410808063696423E-2</v>
      </c>
      <c r="Q34" s="3">
        <f t="shared" si="1"/>
        <v>1.3183333475000001</v>
      </c>
      <c r="R34" s="4">
        <f t="shared" si="6"/>
        <v>0</v>
      </c>
      <c r="S34" s="3">
        <f t="shared" si="2"/>
        <v>0</v>
      </c>
      <c r="T34" s="4">
        <f t="shared" si="3"/>
        <v>0</v>
      </c>
      <c r="U34" s="3">
        <f t="shared" si="4"/>
        <v>0.33499915657292906</v>
      </c>
      <c r="V34" s="5">
        <f t="shared" si="5"/>
        <v>-1</v>
      </c>
    </row>
    <row r="35" spans="1:22" x14ac:dyDescent="0.3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t="s">
        <v>26</v>
      </c>
      <c r="G35" t="s">
        <v>23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  <c r="P35" s="2">
        <f t="shared" si="0"/>
        <v>4.3802014892685065E-2</v>
      </c>
      <c r="Q35" s="3">
        <f t="shared" si="1"/>
        <v>1.4700000289999999</v>
      </c>
      <c r="R35" s="4">
        <f t="shared" si="6"/>
        <v>0</v>
      </c>
      <c r="S35" s="3">
        <f t="shared" si="2"/>
        <v>0</v>
      </c>
      <c r="T35" s="4">
        <f t="shared" si="3"/>
        <v>0</v>
      </c>
      <c r="U35" s="3">
        <f t="shared" si="4"/>
        <v>0.64388963162505475</v>
      </c>
      <c r="V35" s="5">
        <f t="shared" si="5"/>
        <v>-1</v>
      </c>
    </row>
    <row r="36" spans="1:22" x14ac:dyDescent="0.3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t="s">
        <v>26</v>
      </c>
      <c r="G36" t="s">
        <v>23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  <c r="P36" s="2">
        <f t="shared" si="0"/>
        <v>4.5829514207149404E-2</v>
      </c>
      <c r="Q36" s="3">
        <f t="shared" si="1"/>
        <v>1.5299999710000001</v>
      </c>
      <c r="R36" s="4">
        <f t="shared" si="6"/>
        <v>1</v>
      </c>
      <c r="S36" s="3">
        <f t="shared" si="2"/>
        <v>1.5299999710000001</v>
      </c>
      <c r="T36" s="4">
        <f t="shared" si="3"/>
        <v>1</v>
      </c>
      <c r="U36" s="3">
        <f t="shared" si="4"/>
        <v>0.70119155407882672</v>
      </c>
      <c r="V36" s="5">
        <f t="shared" si="5"/>
        <v>31.679739181511394</v>
      </c>
    </row>
    <row r="37" spans="1:22" x14ac:dyDescent="0.3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t="s">
        <v>22</v>
      </c>
      <c r="G37" t="s">
        <v>27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  <c r="P37" s="2">
        <f t="shared" si="0"/>
        <v>0</v>
      </c>
      <c r="Q37" s="3">
        <f t="shared" si="1"/>
        <v>0</v>
      </c>
      <c r="R37" s="4">
        <f t="shared" si="6"/>
        <v>0</v>
      </c>
      <c r="S37" s="3">
        <f t="shared" si="2"/>
        <v>0</v>
      </c>
      <c r="T37" s="4">
        <f t="shared" si="3"/>
        <v>1</v>
      </c>
      <c r="U37" s="3">
        <f t="shared" si="4"/>
        <v>0</v>
      </c>
      <c r="V37" s="5">
        <f t="shared" si="5"/>
        <v>0</v>
      </c>
    </row>
    <row r="38" spans="1:22" x14ac:dyDescent="0.3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t="s">
        <v>22</v>
      </c>
      <c r="G38" t="s">
        <v>27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  <c r="P38" s="2">
        <f t="shared" si="0"/>
        <v>2.4278158328275384E-2</v>
      </c>
      <c r="Q38" s="3">
        <f t="shared" si="1"/>
        <v>1.2907142635714286</v>
      </c>
      <c r="R38" s="4">
        <f t="shared" si="6"/>
        <v>7.1428571428571425E-2</v>
      </c>
      <c r="S38" s="3">
        <f t="shared" si="2"/>
        <v>18.06999969</v>
      </c>
      <c r="T38" s="4">
        <f t="shared" si="3"/>
        <v>1</v>
      </c>
      <c r="U38" s="3">
        <f t="shared" si="4"/>
        <v>0.31336165247550507</v>
      </c>
      <c r="V38" s="5">
        <f t="shared" si="5"/>
        <v>1.7670172029759454</v>
      </c>
    </row>
    <row r="39" spans="1:22" x14ac:dyDescent="0.3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t="s">
        <v>22</v>
      </c>
      <c r="G39" t="s">
        <v>27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  <c r="P39" s="2">
        <f t="shared" si="0"/>
        <v>3.2351989647363313E-2</v>
      </c>
      <c r="Q39" s="3">
        <f t="shared" si="1"/>
        <v>1.6100000139999999</v>
      </c>
      <c r="R39" s="4">
        <f t="shared" si="6"/>
        <v>1</v>
      </c>
      <c r="S39" s="3">
        <f t="shared" si="2"/>
        <v>1.6100000139999999</v>
      </c>
      <c r="T39" s="4">
        <f t="shared" si="3"/>
        <v>1</v>
      </c>
      <c r="U39" s="3">
        <f t="shared" si="4"/>
        <v>0.52086703785182786</v>
      </c>
      <c r="V39" s="5">
        <f t="shared" si="5"/>
        <v>30.055900351066708</v>
      </c>
    </row>
    <row r="40" spans="1:22" x14ac:dyDescent="0.3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t="s">
        <v>22</v>
      </c>
      <c r="G40" t="s">
        <v>27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  <c r="P40" s="2">
        <f t="shared" si="0"/>
        <v>1.994415636218588E-2</v>
      </c>
      <c r="Q40" s="3">
        <f t="shared" si="1"/>
        <v>1.190000057</v>
      </c>
      <c r="R40" s="4">
        <f t="shared" si="6"/>
        <v>0</v>
      </c>
      <c r="S40" s="3">
        <f t="shared" si="2"/>
        <v>0</v>
      </c>
      <c r="T40" s="4">
        <f t="shared" si="3"/>
        <v>0</v>
      </c>
      <c r="U40" s="3">
        <f t="shared" si="4"/>
        <v>0.23733547207818109</v>
      </c>
      <c r="V40" s="5">
        <f t="shared" si="5"/>
        <v>-1</v>
      </c>
    </row>
    <row r="41" spans="1:22" x14ac:dyDescent="0.3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t="s">
        <v>22</v>
      </c>
      <c r="G41" t="s">
        <v>27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  <c r="P41" s="2">
        <f t="shared" si="0"/>
        <v>1.8075711408356142E-2</v>
      </c>
      <c r="Q41" s="3">
        <f t="shared" si="1"/>
        <v>1.3171428952857143</v>
      </c>
      <c r="R41" s="4">
        <f t="shared" si="6"/>
        <v>0</v>
      </c>
      <c r="S41" s="3">
        <f t="shared" si="2"/>
        <v>0</v>
      </c>
      <c r="T41" s="4">
        <f t="shared" si="3"/>
        <v>0</v>
      </c>
      <c r="U41" s="3">
        <f t="shared" si="4"/>
        <v>0.23808294858751225</v>
      </c>
      <c r="V41" s="5">
        <f t="shared" si="5"/>
        <v>-1</v>
      </c>
    </row>
    <row r="42" spans="1:22" x14ac:dyDescent="0.3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t="s">
        <v>22</v>
      </c>
      <c r="G42" t="s">
        <v>27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  <c r="P42" s="2">
        <f t="shared" si="0"/>
        <v>0</v>
      </c>
      <c r="Q42" s="3">
        <f t="shared" si="1"/>
        <v>0</v>
      </c>
      <c r="R42" s="4">
        <f t="shared" si="6"/>
        <v>0</v>
      </c>
      <c r="S42" s="3">
        <f t="shared" si="2"/>
        <v>0</v>
      </c>
      <c r="T42" s="4">
        <f t="shared" si="3"/>
        <v>0</v>
      </c>
      <c r="U42" s="3">
        <f t="shared" si="4"/>
        <v>0</v>
      </c>
      <c r="V42" s="5">
        <f t="shared" si="5"/>
        <v>0</v>
      </c>
    </row>
    <row r="43" spans="1:22" x14ac:dyDescent="0.3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t="s">
        <v>22</v>
      </c>
      <c r="G43" t="s">
        <v>27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  <c r="P43" s="2">
        <f t="shared" si="0"/>
        <v>0</v>
      </c>
      <c r="Q43" s="3">
        <f t="shared" si="1"/>
        <v>0</v>
      </c>
      <c r="R43" s="4">
        <f t="shared" si="6"/>
        <v>0</v>
      </c>
      <c r="S43" s="3">
        <f t="shared" si="2"/>
        <v>0</v>
      </c>
      <c r="T43" s="4">
        <f t="shared" si="3"/>
        <v>0</v>
      </c>
      <c r="U43" s="3">
        <f t="shared" si="4"/>
        <v>0</v>
      </c>
      <c r="V43" s="5">
        <f t="shared" si="5"/>
        <v>0</v>
      </c>
    </row>
    <row r="44" spans="1:22" x14ac:dyDescent="0.3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t="s">
        <v>22</v>
      </c>
      <c r="G44" t="s">
        <v>27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  <c r="P44" s="2">
        <f t="shared" si="0"/>
        <v>1.8625442354255912E-2</v>
      </c>
      <c r="Q44" s="3">
        <f t="shared" si="1"/>
        <v>1.5099999900000001</v>
      </c>
      <c r="R44" s="4">
        <f t="shared" si="6"/>
        <v>0</v>
      </c>
      <c r="S44" s="3">
        <f t="shared" si="2"/>
        <v>0</v>
      </c>
      <c r="T44" s="4">
        <f t="shared" si="3"/>
        <v>0</v>
      </c>
      <c r="U44" s="3">
        <f t="shared" si="4"/>
        <v>0.28124417768672011</v>
      </c>
      <c r="V44" s="5">
        <f t="shared" si="5"/>
        <v>-1</v>
      </c>
    </row>
    <row r="45" spans="1:22" x14ac:dyDescent="0.3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t="s">
        <v>22</v>
      </c>
      <c r="G45" t="s">
        <v>27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  <c r="P45" s="2">
        <f t="shared" si="0"/>
        <v>3.1501732595292743E-2</v>
      </c>
      <c r="Q45" s="3">
        <f t="shared" si="1"/>
        <v>1.3471428667142857</v>
      </c>
      <c r="R45" s="4">
        <f t="shared" si="6"/>
        <v>0.14285714285714285</v>
      </c>
      <c r="S45" s="3">
        <f t="shared" si="2"/>
        <v>9.4300000669999999</v>
      </c>
      <c r="T45" s="4">
        <f t="shared" si="3"/>
        <v>1</v>
      </c>
      <c r="U45" s="3">
        <f t="shared" si="4"/>
        <v>0.42437334354889522</v>
      </c>
      <c r="V45" s="5">
        <f t="shared" si="5"/>
        <v>4.3022268976405931</v>
      </c>
    </row>
    <row r="46" spans="1:22" x14ac:dyDescent="0.3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t="s">
        <v>22</v>
      </c>
      <c r="G46" t="s">
        <v>27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  <c r="P46" s="2">
        <f t="shared" si="0"/>
        <v>0</v>
      </c>
      <c r="Q46" s="3">
        <f t="shared" si="1"/>
        <v>0</v>
      </c>
      <c r="R46" s="4">
        <f t="shared" si="6"/>
        <v>0</v>
      </c>
      <c r="S46" s="3">
        <f t="shared" si="2"/>
        <v>0</v>
      </c>
      <c r="T46" s="4">
        <f t="shared" si="3"/>
        <v>0</v>
      </c>
      <c r="U46" s="3">
        <f t="shared" si="4"/>
        <v>0</v>
      </c>
      <c r="V46" s="5">
        <f t="shared" si="5"/>
        <v>0</v>
      </c>
    </row>
    <row r="47" spans="1:22" x14ac:dyDescent="0.3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t="s">
        <v>22</v>
      </c>
      <c r="G47" t="s">
        <v>27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  <c r="P47" s="2">
        <f t="shared" si="0"/>
        <v>3.8405407481373374E-2</v>
      </c>
      <c r="Q47" s="3">
        <f t="shared" si="1"/>
        <v>1.3920000076000001</v>
      </c>
      <c r="R47" s="4">
        <f t="shared" si="6"/>
        <v>0</v>
      </c>
      <c r="S47" s="3">
        <f t="shared" si="2"/>
        <v>0</v>
      </c>
      <c r="T47" s="4">
        <f t="shared" si="3"/>
        <v>0</v>
      </c>
      <c r="U47" s="3">
        <f t="shared" si="4"/>
        <v>0.53460327505952843</v>
      </c>
      <c r="V47" s="5">
        <f t="shared" si="5"/>
        <v>-1</v>
      </c>
    </row>
    <row r="48" spans="1:22" x14ac:dyDescent="0.3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t="s">
        <v>24</v>
      </c>
      <c r="G48" t="s">
        <v>27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  <c r="P48" s="2">
        <f t="shared" si="0"/>
        <v>3.9872408293460927E-2</v>
      </c>
      <c r="Q48" s="3">
        <f t="shared" si="1"/>
        <v>1.2200000289999999</v>
      </c>
      <c r="R48" s="4">
        <f t="shared" si="6"/>
        <v>0</v>
      </c>
      <c r="S48" s="3">
        <f t="shared" si="2"/>
        <v>0</v>
      </c>
      <c r="T48" s="4">
        <f t="shared" si="3"/>
        <v>0</v>
      </c>
      <c r="U48" s="3">
        <f t="shared" si="4"/>
        <v>0.48644339274322168</v>
      </c>
      <c r="V48" s="5">
        <f t="shared" si="5"/>
        <v>-1</v>
      </c>
    </row>
    <row r="49" spans="1:22" x14ac:dyDescent="0.3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t="s">
        <v>24</v>
      </c>
      <c r="G49" t="s">
        <v>27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  <c r="P49" s="2">
        <f t="shared" si="0"/>
        <v>3.4106412005457026E-2</v>
      </c>
      <c r="Q49" s="3">
        <f t="shared" si="1"/>
        <v>1.3999999759999999</v>
      </c>
      <c r="R49" s="4">
        <f t="shared" si="6"/>
        <v>0.5</v>
      </c>
      <c r="S49" s="3">
        <f t="shared" si="2"/>
        <v>2.7999999519999998</v>
      </c>
      <c r="T49" s="4">
        <f t="shared" si="3"/>
        <v>1</v>
      </c>
      <c r="U49" s="3">
        <f t="shared" si="4"/>
        <v>0.47748975989085946</v>
      </c>
      <c r="V49" s="5">
        <f t="shared" si="5"/>
        <v>16.857143163265313</v>
      </c>
    </row>
    <row r="50" spans="1:22" x14ac:dyDescent="0.3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t="s">
        <v>24</v>
      </c>
      <c r="G50" t="s">
        <v>27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  <c r="P50" s="2">
        <f t="shared" si="0"/>
        <v>3.5932446999640676E-2</v>
      </c>
      <c r="Q50" s="3">
        <f t="shared" si="1"/>
        <v>1.6000000240000001</v>
      </c>
      <c r="R50" s="4">
        <f t="shared" si="6"/>
        <v>0</v>
      </c>
      <c r="S50" s="3">
        <f t="shared" si="2"/>
        <v>0</v>
      </c>
      <c r="T50" s="4">
        <f t="shared" si="3"/>
        <v>0</v>
      </c>
      <c r="U50" s="3">
        <f t="shared" si="4"/>
        <v>0.57491916061803805</v>
      </c>
      <c r="V50" s="5">
        <f t="shared" si="5"/>
        <v>-1</v>
      </c>
    </row>
    <row r="51" spans="1:22" x14ac:dyDescent="0.3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t="s">
        <v>25</v>
      </c>
      <c r="G51" t="s">
        <v>27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  <c r="P51" s="2">
        <f t="shared" si="0"/>
        <v>2.6232948583420776E-2</v>
      </c>
      <c r="Q51" s="3">
        <f t="shared" si="1"/>
        <v>1.1299999949999999</v>
      </c>
      <c r="R51" s="4">
        <f t="shared" si="6"/>
        <v>1</v>
      </c>
      <c r="S51" s="3">
        <f t="shared" si="2"/>
        <v>1.1299999949999999</v>
      </c>
      <c r="T51" s="4">
        <f t="shared" si="3"/>
        <v>0.5</v>
      </c>
      <c r="U51" s="3">
        <f t="shared" si="4"/>
        <v>0.29643231768100731</v>
      </c>
      <c r="V51" s="5">
        <f t="shared" si="5"/>
        <v>43.247787806406144</v>
      </c>
    </row>
    <row r="52" spans="1:22" x14ac:dyDescent="0.3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t="s">
        <v>26</v>
      </c>
      <c r="G52" t="s">
        <v>27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  <c r="P52" s="2">
        <f t="shared" si="0"/>
        <v>3.5717474774533436E-2</v>
      </c>
      <c r="Q52" s="3">
        <f t="shared" si="1"/>
        <v>1.4325000047500001</v>
      </c>
      <c r="R52" s="4">
        <f t="shared" si="6"/>
        <v>0.25</v>
      </c>
      <c r="S52" s="3">
        <f t="shared" si="2"/>
        <v>5.7300000190000002</v>
      </c>
      <c r="T52" s="4">
        <f t="shared" si="3"/>
        <v>1</v>
      </c>
      <c r="U52" s="3">
        <f t="shared" si="4"/>
        <v>0.51165282784177157</v>
      </c>
      <c r="V52" s="5">
        <f t="shared" si="5"/>
        <v>7.7260034614670037</v>
      </c>
    </row>
    <row r="53" spans="1:22" x14ac:dyDescent="0.3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t="s">
        <v>26</v>
      </c>
      <c r="G53" t="s">
        <v>27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  <c r="P53" s="2">
        <f t="shared" si="0"/>
        <v>0</v>
      </c>
      <c r="Q53" s="3">
        <f t="shared" si="1"/>
        <v>0</v>
      </c>
      <c r="R53" s="4">
        <f t="shared" si="6"/>
        <v>0</v>
      </c>
      <c r="S53" s="3">
        <f t="shared" si="2"/>
        <v>0</v>
      </c>
      <c r="T53" s="4">
        <f t="shared" si="3"/>
        <v>0</v>
      </c>
      <c r="U53" s="3">
        <f t="shared" si="4"/>
        <v>0</v>
      </c>
      <c r="V53" s="5">
        <f t="shared" si="5"/>
        <v>0</v>
      </c>
    </row>
    <row r="54" spans="1:22" x14ac:dyDescent="0.3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t="s">
        <v>26</v>
      </c>
      <c r="G54" t="s">
        <v>27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  <c r="P54" s="2">
        <f t="shared" si="0"/>
        <v>3.9836102890962892E-2</v>
      </c>
      <c r="Q54" s="3">
        <f t="shared" si="1"/>
        <v>1.3399999992857143</v>
      </c>
      <c r="R54" s="4">
        <f t="shared" si="6"/>
        <v>0</v>
      </c>
      <c r="S54" s="3">
        <f t="shared" si="2"/>
        <v>0</v>
      </c>
      <c r="T54" s="4">
        <f t="shared" si="3"/>
        <v>0</v>
      </c>
      <c r="U54" s="3">
        <f t="shared" si="4"/>
        <v>0.53380377845435922</v>
      </c>
      <c r="V54" s="5">
        <f t="shared" si="5"/>
        <v>-1</v>
      </c>
    </row>
    <row r="55" spans="1:22" x14ac:dyDescent="0.3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t="s">
        <v>26</v>
      </c>
      <c r="G55" t="s">
        <v>27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  <c r="P55" s="2">
        <f t="shared" si="0"/>
        <v>0</v>
      </c>
      <c r="Q55" s="3">
        <f t="shared" si="1"/>
        <v>0</v>
      </c>
      <c r="R55" s="4">
        <f t="shared" si="6"/>
        <v>0</v>
      </c>
      <c r="S55" s="3">
        <f t="shared" si="2"/>
        <v>0</v>
      </c>
      <c r="T55" s="4">
        <f t="shared" si="3"/>
        <v>1</v>
      </c>
      <c r="U55" s="3">
        <f t="shared" si="4"/>
        <v>0</v>
      </c>
      <c r="V55" s="5">
        <f t="shared" si="5"/>
        <v>0</v>
      </c>
    </row>
    <row r="56" spans="1:22" x14ac:dyDescent="0.3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t="s">
        <v>22</v>
      </c>
      <c r="G56" t="s">
        <v>23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  <c r="P56" s="2">
        <f t="shared" si="0"/>
        <v>0</v>
      </c>
      <c r="Q56" s="3">
        <f t="shared" si="1"/>
        <v>0</v>
      </c>
      <c r="R56" s="4">
        <f t="shared" si="6"/>
        <v>0</v>
      </c>
      <c r="S56" s="3">
        <f t="shared" si="2"/>
        <v>0</v>
      </c>
      <c r="T56" s="4">
        <f t="shared" si="3"/>
        <v>1</v>
      </c>
      <c r="U56" s="3">
        <f t="shared" si="4"/>
        <v>0</v>
      </c>
      <c r="V56" s="5">
        <f t="shared" si="5"/>
        <v>0</v>
      </c>
    </row>
    <row r="57" spans="1:22" x14ac:dyDescent="0.3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t="s">
        <v>22</v>
      </c>
      <c r="G57" t="s">
        <v>23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  <c r="P57" s="2">
        <f t="shared" si="0"/>
        <v>3.0009753169780176E-2</v>
      </c>
      <c r="Q57" s="3">
        <f t="shared" si="1"/>
        <v>1.4074999987500001</v>
      </c>
      <c r="R57" s="4">
        <f t="shared" si="6"/>
        <v>0.25</v>
      </c>
      <c r="S57" s="3">
        <f t="shared" si="2"/>
        <v>5.6299999950000004</v>
      </c>
      <c r="T57" s="4">
        <f t="shared" si="3"/>
        <v>1</v>
      </c>
      <c r="U57" s="3">
        <f t="shared" si="4"/>
        <v>0.42238727548953409</v>
      </c>
      <c r="V57" s="5">
        <f t="shared" si="5"/>
        <v>7.8809946792904038</v>
      </c>
    </row>
    <row r="58" spans="1:22" x14ac:dyDescent="0.3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t="s">
        <v>22</v>
      </c>
      <c r="G58" t="s">
        <v>23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  <c r="P58" s="2">
        <f t="shared" si="0"/>
        <v>2.1963540522732264E-2</v>
      </c>
      <c r="Q58" s="3">
        <f t="shared" si="1"/>
        <v>1.280000011</v>
      </c>
      <c r="R58" s="4">
        <f t="shared" si="6"/>
        <v>0</v>
      </c>
      <c r="S58" s="3">
        <f t="shared" si="2"/>
        <v>0</v>
      </c>
      <c r="T58" s="4">
        <f t="shared" si="3"/>
        <v>0</v>
      </c>
      <c r="U58" s="3">
        <f t="shared" si="4"/>
        <v>0.28113332110696243</v>
      </c>
      <c r="V58" s="5">
        <f t="shared" si="5"/>
        <v>-1</v>
      </c>
    </row>
    <row r="59" spans="1:22" x14ac:dyDescent="0.3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t="s">
        <v>22</v>
      </c>
      <c r="G59" t="s">
        <v>23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  <c r="P59" s="2">
        <f t="shared" si="0"/>
        <v>0</v>
      </c>
      <c r="Q59" s="3">
        <f t="shared" si="1"/>
        <v>0</v>
      </c>
      <c r="R59" s="4">
        <f t="shared" si="6"/>
        <v>0</v>
      </c>
      <c r="S59" s="3">
        <f t="shared" si="2"/>
        <v>0</v>
      </c>
      <c r="T59" s="4">
        <f t="shared" si="3"/>
        <v>1</v>
      </c>
      <c r="U59" s="3">
        <f t="shared" si="4"/>
        <v>0</v>
      </c>
      <c r="V59" s="5">
        <f t="shared" si="5"/>
        <v>0</v>
      </c>
    </row>
    <row r="60" spans="1:22" x14ac:dyDescent="0.3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t="s">
        <v>22</v>
      </c>
      <c r="G60" t="s">
        <v>23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  <c r="P60" s="2">
        <f t="shared" si="0"/>
        <v>0</v>
      </c>
      <c r="Q60" s="3">
        <f t="shared" si="1"/>
        <v>0</v>
      </c>
      <c r="R60" s="4">
        <f t="shared" si="6"/>
        <v>0</v>
      </c>
      <c r="S60" s="3">
        <f t="shared" si="2"/>
        <v>0</v>
      </c>
      <c r="T60" s="4">
        <f t="shared" si="3"/>
        <v>0</v>
      </c>
      <c r="U60" s="3">
        <f t="shared" si="4"/>
        <v>0</v>
      </c>
      <c r="V60" s="5">
        <f t="shared" si="5"/>
        <v>0</v>
      </c>
    </row>
    <row r="61" spans="1:22" x14ac:dyDescent="0.3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t="s">
        <v>22</v>
      </c>
      <c r="G61" t="s">
        <v>23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  <c r="P61" s="2">
        <f t="shared" si="0"/>
        <v>0</v>
      </c>
      <c r="Q61" s="3">
        <f t="shared" si="1"/>
        <v>0</v>
      </c>
      <c r="R61" s="4">
        <f t="shared" si="6"/>
        <v>0</v>
      </c>
      <c r="S61" s="3">
        <f t="shared" si="2"/>
        <v>0</v>
      </c>
      <c r="T61" s="4">
        <f t="shared" si="3"/>
        <v>0</v>
      </c>
      <c r="U61" s="3">
        <f t="shared" si="4"/>
        <v>0</v>
      </c>
      <c r="V61" s="5">
        <f t="shared" si="5"/>
        <v>0</v>
      </c>
    </row>
    <row r="62" spans="1:22" x14ac:dyDescent="0.3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t="s">
        <v>22</v>
      </c>
      <c r="G62" t="s">
        <v>23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  <c r="P62" s="2">
        <f t="shared" si="0"/>
        <v>1.8608113137327877E-2</v>
      </c>
      <c r="Q62" s="3">
        <f t="shared" si="1"/>
        <v>1.039999962</v>
      </c>
      <c r="R62" s="4">
        <f t="shared" si="6"/>
        <v>0</v>
      </c>
      <c r="S62" s="3">
        <f t="shared" si="2"/>
        <v>0</v>
      </c>
      <c r="T62" s="4">
        <f t="shared" si="3"/>
        <v>0</v>
      </c>
      <c r="U62" s="3">
        <f t="shared" si="4"/>
        <v>0.1935243695571269</v>
      </c>
      <c r="V62" s="5">
        <f t="shared" si="5"/>
        <v>-1</v>
      </c>
    </row>
    <row r="63" spans="1:22" x14ac:dyDescent="0.3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t="s">
        <v>22</v>
      </c>
      <c r="G63" t="s">
        <v>23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  <c r="P63" s="2">
        <f t="shared" si="0"/>
        <v>0</v>
      </c>
      <c r="Q63" s="3">
        <f t="shared" si="1"/>
        <v>0</v>
      </c>
      <c r="R63" s="4">
        <f t="shared" si="6"/>
        <v>0</v>
      </c>
      <c r="S63" s="3">
        <f t="shared" si="2"/>
        <v>0</v>
      </c>
      <c r="T63" s="4">
        <f t="shared" si="3"/>
        <v>1</v>
      </c>
      <c r="U63" s="3">
        <f t="shared" si="4"/>
        <v>0</v>
      </c>
      <c r="V63" s="5">
        <f t="shared" si="5"/>
        <v>0</v>
      </c>
    </row>
    <row r="64" spans="1:22" x14ac:dyDescent="0.3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t="s">
        <v>22</v>
      </c>
      <c r="G64" t="s">
        <v>23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  <c r="P64" s="2">
        <f t="shared" si="0"/>
        <v>0</v>
      </c>
      <c r="Q64" s="3">
        <f t="shared" si="1"/>
        <v>0</v>
      </c>
      <c r="R64" s="4">
        <f t="shared" si="6"/>
        <v>0</v>
      </c>
      <c r="S64" s="3">
        <f t="shared" si="2"/>
        <v>0</v>
      </c>
      <c r="T64" s="4">
        <f t="shared" si="3"/>
        <v>0</v>
      </c>
      <c r="U64" s="3">
        <f t="shared" si="4"/>
        <v>0</v>
      </c>
      <c r="V64" s="5">
        <f t="shared" si="5"/>
        <v>0</v>
      </c>
    </row>
    <row r="65" spans="1:22" x14ac:dyDescent="0.3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t="s">
        <v>24</v>
      </c>
      <c r="G65" t="s">
        <v>23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  <c r="P65" s="2">
        <f t="shared" si="0"/>
        <v>2.2609088853719195E-2</v>
      </c>
      <c r="Q65" s="3">
        <f t="shared" si="1"/>
        <v>1.460000038</v>
      </c>
      <c r="R65" s="4">
        <f t="shared" si="6"/>
        <v>1</v>
      </c>
      <c r="S65" s="3">
        <f t="shared" si="2"/>
        <v>1.460000038</v>
      </c>
      <c r="T65" s="4">
        <f t="shared" si="3"/>
        <v>1</v>
      </c>
      <c r="U65" s="3">
        <f t="shared" si="4"/>
        <v>0.33009270585575406</v>
      </c>
      <c r="V65" s="5">
        <f t="shared" si="5"/>
        <v>33.246574451116558</v>
      </c>
    </row>
    <row r="66" spans="1:22" x14ac:dyDescent="0.3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t="s">
        <v>24</v>
      </c>
      <c r="G66" t="s">
        <v>23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  <c r="P66" s="2">
        <f t="shared" ref="P66:P129" si="7">IF(K66&gt;0, (L66/K66)*100, 0)</f>
        <v>1.6152479405588758E-2</v>
      </c>
      <c r="Q66" s="3">
        <f t="shared" ref="Q66:Q129" si="8">IF(L66&gt;0, M66/L66, 0)</f>
        <v>1.4199999569999999</v>
      </c>
      <c r="R66" s="4">
        <f t="shared" si="6"/>
        <v>0.5</v>
      </c>
      <c r="S66" s="3">
        <f t="shared" ref="S66:S129" si="9">IF(O66&gt;0, M66/O66, 0)</f>
        <v>2.8399999139999998</v>
      </c>
      <c r="T66" s="4">
        <f t="shared" ref="T66:T129" si="10">IF(N66&gt;0, O66/N66, 0)</f>
        <v>1</v>
      </c>
      <c r="U66" s="3">
        <f t="shared" ref="U66:U129" si="11">IF(K66&gt;0, (M66/K66)*1000, 0)</f>
        <v>0.2293652006137942</v>
      </c>
      <c r="V66" s="5">
        <f t="shared" ref="V66:V129" si="12">IF(M66&gt;0, ((O66*50)-M66)/M66, 0)</f>
        <v>16.605634335945265</v>
      </c>
    </row>
    <row r="67" spans="1:22" x14ac:dyDescent="0.3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t="s">
        <v>24</v>
      </c>
      <c r="G67" t="s">
        <v>23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  <c r="P67" s="2">
        <f t="shared" si="7"/>
        <v>3.403675970047651E-2</v>
      </c>
      <c r="Q67" s="3">
        <f t="shared" si="8"/>
        <v>1.3500000240000001</v>
      </c>
      <c r="R67" s="4">
        <f t="shared" ref="R67:R130" si="13">IF(L67&gt;0, O67/L67, 0)</f>
        <v>1</v>
      </c>
      <c r="S67" s="3">
        <f t="shared" si="9"/>
        <v>1.3500000240000001</v>
      </c>
      <c r="T67" s="4">
        <f t="shared" si="10"/>
        <v>1</v>
      </c>
      <c r="U67" s="3">
        <f t="shared" si="11"/>
        <v>0.45949626412525529</v>
      </c>
      <c r="V67" s="5">
        <f t="shared" si="12"/>
        <v>36.037036378600831</v>
      </c>
    </row>
    <row r="68" spans="1:22" x14ac:dyDescent="0.3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t="s">
        <v>24</v>
      </c>
      <c r="G68" t="s">
        <v>23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  <c r="P68" s="2">
        <f t="shared" si="7"/>
        <v>0</v>
      </c>
      <c r="Q68" s="3">
        <f t="shared" si="8"/>
        <v>0</v>
      </c>
      <c r="R68" s="4">
        <f t="shared" si="13"/>
        <v>0</v>
      </c>
      <c r="S68" s="3">
        <f t="shared" si="9"/>
        <v>0</v>
      </c>
      <c r="T68" s="4">
        <f t="shared" si="10"/>
        <v>0</v>
      </c>
      <c r="U68" s="3">
        <f t="shared" si="11"/>
        <v>0</v>
      </c>
      <c r="V68" s="5">
        <f t="shared" si="12"/>
        <v>0</v>
      </c>
    </row>
    <row r="69" spans="1:22" x14ac:dyDescent="0.3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t="s">
        <v>24</v>
      </c>
      <c r="G69" t="s">
        <v>23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  <c r="P69" s="2">
        <f t="shared" si="7"/>
        <v>0</v>
      </c>
      <c r="Q69" s="3">
        <f t="shared" si="8"/>
        <v>0</v>
      </c>
      <c r="R69" s="4">
        <f t="shared" si="13"/>
        <v>0</v>
      </c>
      <c r="S69" s="3">
        <f t="shared" si="9"/>
        <v>0</v>
      </c>
      <c r="T69" s="4">
        <f t="shared" si="10"/>
        <v>0</v>
      </c>
      <c r="U69" s="3">
        <f t="shared" si="11"/>
        <v>0</v>
      </c>
      <c r="V69" s="5">
        <f t="shared" si="12"/>
        <v>0</v>
      </c>
    </row>
    <row r="70" spans="1:22" x14ac:dyDescent="0.3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t="s">
        <v>24</v>
      </c>
      <c r="G70" t="s">
        <v>23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  <c r="P70" s="2">
        <f t="shared" si="7"/>
        <v>3.8714672861014321E-2</v>
      </c>
      <c r="Q70" s="3">
        <f t="shared" si="8"/>
        <v>1.4375</v>
      </c>
      <c r="R70" s="4">
        <f t="shared" si="13"/>
        <v>0</v>
      </c>
      <c r="S70" s="3">
        <f t="shared" si="9"/>
        <v>0</v>
      </c>
      <c r="T70" s="4">
        <f t="shared" si="10"/>
        <v>0</v>
      </c>
      <c r="U70" s="3">
        <f t="shared" si="11"/>
        <v>0.55652342237708097</v>
      </c>
      <c r="V70" s="5">
        <f t="shared" si="12"/>
        <v>-1</v>
      </c>
    </row>
    <row r="71" spans="1:22" x14ac:dyDescent="0.3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t="s">
        <v>24</v>
      </c>
      <c r="G71" t="s">
        <v>23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  <c r="P71" s="2">
        <f t="shared" si="7"/>
        <v>3.6324010170722849E-2</v>
      </c>
      <c r="Q71" s="3">
        <f t="shared" si="8"/>
        <v>1.3266666730000001</v>
      </c>
      <c r="R71" s="4">
        <f t="shared" si="13"/>
        <v>0</v>
      </c>
      <c r="S71" s="3">
        <f t="shared" si="9"/>
        <v>0</v>
      </c>
      <c r="T71" s="4">
        <f t="shared" si="10"/>
        <v>0</v>
      </c>
      <c r="U71" s="3">
        <f t="shared" si="11"/>
        <v>0.48189853723211046</v>
      </c>
      <c r="V71" s="5">
        <f t="shared" si="12"/>
        <v>-1</v>
      </c>
    </row>
    <row r="72" spans="1:22" x14ac:dyDescent="0.3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t="s">
        <v>24</v>
      </c>
      <c r="G72" t="s">
        <v>23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  <c r="P72" s="2">
        <f t="shared" si="7"/>
        <v>2.4675111037999672E-2</v>
      </c>
      <c r="Q72" s="3">
        <f t="shared" si="8"/>
        <v>1.4833333093333334</v>
      </c>
      <c r="R72" s="4">
        <f t="shared" si="13"/>
        <v>0</v>
      </c>
      <c r="S72" s="3">
        <f t="shared" si="9"/>
        <v>0</v>
      </c>
      <c r="T72" s="4">
        <f t="shared" si="10"/>
        <v>0</v>
      </c>
      <c r="U72" s="3">
        <f t="shared" si="11"/>
        <v>0.36601414114163516</v>
      </c>
      <c r="V72" s="5">
        <f t="shared" si="12"/>
        <v>-1</v>
      </c>
    </row>
    <row r="73" spans="1:22" x14ac:dyDescent="0.3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t="s">
        <v>25</v>
      </c>
      <c r="G73" t="s">
        <v>23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  <c r="P73" s="2">
        <f t="shared" si="7"/>
        <v>2.594370216629913E-2</v>
      </c>
      <c r="Q73" s="3">
        <f t="shared" si="8"/>
        <v>0.66000002599999996</v>
      </c>
      <c r="R73" s="4">
        <f t="shared" si="13"/>
        <v>0</v>
      </c>
      <c r="S73" s="3">
        <f t="shared" si="9"/>
        <v>0</v>
      </c>
      <c r="T73" s="4">
        <f t="shared" si="10"/>
        <v>0</v>
      </c>
      <c r="U73" s="3">
        <f t="shared" si="11"/>
        <v>0.1712284410429368</v>
      </c>
      <c r="V73" s="5">
        <f t="shared" si="12"/>
        <v>-1</v>
      </c>
    </row>
    <row r="74" spans="1:22" x14ac:dyDescent="0.3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t="s">
        <v>25</v>
      </c>
      <c r="G74" t="s">
        <v>23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  <c r="P74" s="2">
        <f t="shared" si="7"/>
        <v>0</v>
      </c>
      <c r="Q74" s="3">
        <f t="shared" si="8"/>
        <v>0</v>
      </c>
      <c r="R74" s="4">
        <f t="shared" si="13"/>
        <v>0</v>
      </c>
      <c r="S74" s="3">
        <f t="shared" si="9"/>
        <v>0</v>
      </c>
      <c r="T74" s="4">
        <f t="shared" si="10"/>
        <v>0</v>
      </c>
      <c r="U74" s="3">
        <f t="shared" si="11"/>
        <v>0</v>
      </c>
      <c r="V74" s="5">
        <f t="shared" si="12"/>
        <v>0</v>
      </c>
    </row>
    <row r="75" spans="1:22" x14ac:dyDescent="0.3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t="s">
        <v>26</v>
      </c>
      <c r="G75" t="s">
        <v>23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  <c r="P75" s="2">
        <f t="shared" si="7"/>
        <v>0</v>
      </c>
      <c r="Q75" s="3">
        <f t="shared" si="8"/>
        <v>0</v>
      </c>
      <c r="R75" s="4">
        <f t="shared" si="13"/>
        <v>0</v>
      </c>
      <c r="S75" s="3">
        <f t="shared" si="9"/>
        <v>0</v>
      </c>
      <c r="T75" s="4">
        <f t="shared" si="10"/>
        <v>0</v>
      </c>
      <c r="U75" s="3">
        <f t="shared" si="11"/>
        <v>0</v>
      </c>
      <c r="V75" s="5">
        <f t="shared" si="12"/>
        <v>0</v>
      </c>
    </row>
    <row r="76" spans="1:22" x14ac:dyDescent="0.3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t="s">
        <v>26</v>
      </c>
      <c r="G76" t="s">
        <v>23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  <c r="P76" s="2">
        <f t="shared" si="7"/>
        <v>0</v>
      </c>
      <c r="Q76" s="3">
        <f t="shared" si="8"/>
        <v>0</v>
      </c>
      <c r="R76" s="4">
        <f t="shared" si="13"/>
        <v>0</v>
      </c>
      <c r="S76" s="3">
        <f t="shared" si="9"/>
        <v>0</v>
      </c>
      <c r="T76" s="4">
        <f t="shared" si="10"/>
        <v>0</v>
      </c>
      <c r="U76" s="3">
        <f t="shared" si="11"/>
        <v>0</v>
      </c>
      <c r="V76" s="5">
        <f t="shared" si="12"/>
        <v>0</v>
      </c>
    </row>
    <row r="77" spans="1:22" x14ac:dyDescent="0.3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t="s">
        <v>26</v>
      </c>
      <c r="G77" t="s">
        <v>23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  <c r="P77" s="2">
        <f t="shared" si="7"/>
        <v>2.8664246130326771E-2</v>
      </c>
      <c r="Q77" s="3">
        <f t="shared" si="8"/>
        <v>1.3633333443333333</v>
      </c>
      <c r="R77" s="4">
        <f t="shared" si="13"/>
        <v>0</v>
      </c>
      <c r="S77" s="3">
        <f t="shared" si="9"/>
        <v>0</v>
      </c>
      <c r="T77" s="4">
        <f t="shared" si="10"/>
        <v>0</v>
      </c>
      <c r="U77" s="3">
        <f t="shared" si="11"/>
        <v>0.39078922539652211</v>
      </c>
      <c r="V77" s="5">
        <f t="shared" si="12"/>
        <v>-1</v>
      </c>
    </row>
    <row r="78" spans="1:22" x14ac:dyDescent="0.3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t="s">
        <v>26</v>
      </c>
      <c r="G78" t="s">
        <v>23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  <c r="P78" s="2">
        <f t="shared" si="7"/>
        <v>0</v>
      </c>
      <c r="Q78" s="3">
        <f t="shared" si="8"/>
        <v>0</v>
      </c>
      <c r="R78" s="4">
        <f t="shared" si="13"/>
        <v>0</v>
      </c>
      <c r="S78" s="3">
        <f t="shared" si="9"/>
        <v>0</v>
      </c>
      <c r="T78" s="4">
        <f t="shared" si="10"/>
        <v>0</v>
      </c>
      <c r="U78" s="3">
        <f t="shared" si="11"/>
        <v>0</v>
      </c>
      <c r="V78" s="5">
        <f t="shared" si="12"/>
        <v>0</v>
      </c>
    </row>
    <row r="79" spans="1:22" x14ac:dyDescent="0.3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t="s">
        <v>22</v>
      </c>
      <c r="G79" t="s">
        <v>27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  <c r="P79" s="2">
        <f t="shared" si="7"/>
        <v>1.7934002869440462E-2</v>
      </c>
      <c r="Q79" s="3">
        <f t="shared" si="8"/>
        <v>1.5299999710000001</v>
      </c>
      <c r="R79" s="4">
        <f t="shared" si="13"/>
        <v>1</v>
      </c>
      <c r="S79" s="3">
        <f t="shared" si="9"/>
        <v>1.5299999710000001</v>
      </c>
      <c r="T79" s="4">
        <f t="shared" si="10"/>
        <v>1</v>
      </c>
      <c r="U79" s="3">
        <f t="shared" si="11"/>
        <v>0.27439023870157819</v>
      </c>
      <c r="V79" s="5">
        <f t="shared" si="12"/>
        <v>31.679739181511394</v>
      </c>
    </row>
    <row r="80" spans="1:22" x14ac:dyDescent="0.3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t="s">
        <v>22</v>
      </c>
      <c r="G80" t="s">
        <v>27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  <c r="P80" s="2">
        <f t="shared" si="7"/>
        <v>0</v>
      </c>
      <c r="Q80" s="3">
        <f t="shared" si="8"/>
        <v>0</v>
      </c>
      <c r="R80" s="4">
        <f t="shared" si="13"/>
        <v>0</v>
      </c>
      <c r="S80" s="3">
        <f t="shared" si="9"/>
        <v>0</v>
      </c>
      <c r="T80" s="4">
        <f t="shared" si="10"/>
        <v>0</v>
      </c>
      <c r="U80" s="3">
        <f t="shared" si="11"/>
        <v>0</v>
      </c>
      <c r="V80" s="5">
        <f t="shared" si="12"/>
        <v>0</v>
      </c>
    </row>
    <row r="81" spans="1:22" x14ac:dyDescent="0.3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t="s">
        <v>22</v>
      </c>
      <c r="G81" t="s">
        <v>27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  <c r="P81" s="2">
        <f t="shared" si="7"/>
        <v>1.7794951318097465E-2</v>
      </c>
      <c r="Q81" s="3">
        <f t="shared" si="8"/>
        <v>1.4328571557142857</v>
      </c>
      <c r="R81" s="4">
        <f t="shared" si="13"/>
        <v>0.14285714285714285</v>
      </c>
      <c r="S81" s="3">
        <f t="shared" si="9"/>
        <v>10.03000009</v>
      </c>
      <c r="T81" s="4">
        <f t="shared" si="10"/>
        <v>1</v>
      </c>
      <c r="U81" s="3">
        <f t="shared" si="11"/>
        <v>0.25497623331723313</v>
      </c>
      <c r="V81" s="5">
        <f t="shared" si="12"/>
        <v>3.985044820672579</v>
      </c>
    </row>
    <row r="82" spans="1:22" x14ac:dyDescent="0.3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t="s">
        <v>22</v>
      </c>
      <c r="G82" t="s">
        <v>27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  <c r="P82" s="2">
        <f t="shared" si="7"/>
        <v>0</v>
      </c>
      <c r="Q82" s="3">
        <f t="shared" si="8"/>
        <v>0</v>
      </c>
      <c r="R82" s="4">
        <f t="shared" si="13"/>
        <v>0</v>
      </c>
      <c r="S82" s="3">
        <f t="shared" si="9"/>
        <v>0</v>
      </c>
      <c r="T82" s="4">
        <f t="shared" si="10"/>
        <v>0</v>
      </c>
      <c r="U82" s="3">
        <f t="shared" si="11"/>
        <v>0</v>
      </c>
      <c r="V82" s="5">
        <f t="shared" si="12"/>
        <v>0</v>
      </c>
    </row>
    <row r="83" spans="1:22" x14ac:dyDescent="0.3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t="s">
        <v>22</v>
      </c>
      <c r="G83" t="s">
        <v>27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  <c r="P83" s="2">
        <f t="shared" si="7"/>
        <v>0</v>
      </c>
      <c r="Q83" s="3">
        <f t="shared" si="8"/>
        <v>0</v>
      </c>
      <c r="R83" s="4">
        <f t="shared" si="13"/>
        <v>0</v>
      </c>
      <c r="S83" s="3">
        <f t="shared" si="9"/>
        <v>0</v>
      </c>
      <c r="T83" s="4">
        <f t="shared" si="10"/>
        <v>0</v>
      </c>
      <c r="U83" s="3">
        <f t="shared" si="11"/>
        <v>0</v>
      </c>
      <c r="V83" s="5">
        <f t="shared" si="12"/>
        <v>0</v>
      </c>
    </row>
    <row r="84" spans="1:22" x14ac:dyDescent="0.3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t="s">
        <v>22</v>
      </c>
      <c r="G84" t="s">
        <v>27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  <c r="P84" s="2">
        <f t="shared" si="7"/>
        <v>2.2256843979523704E-2</v>
      </c>
      <c r="Q84" s="3">
        <f t="shared" si="8"/>
        <v>1.4166666666666667</v>
      </c>
      <c r="R84" s="4">
        <f t="shared" si="13"/>
        <v>0</v>
      </c>
      <c r="S84" s="3">
        <f t="shared" si="9"/>
        <v>0</v>
      </c>
      <c r="T84" s="4">
        <f t="shared" si="10"/>
        <v>0</v>
      </c>
      <c r="U84" s="3">
        <f t="shared" si="11"/>
        <v>0.31530528970991911</v>
      </c>
      <c r="V84" s="5">
        <f t="shared" si="12"/>
        <v>-1</v>
      </c>
    </row>
    <row r="85" spans="1:22" x14ac:dyDescent="0.3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t="s">
        <v>22</v>
      </c>
      <c r="G85" t="s">
        <v>27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  <c r="P85" s="2">
        <f t="shared" si="7"/>
        <v>2.2798218231559749E-2</v>
      </c>
      <c r="Q85" s="3">
        <f t="shared" si="8"/>
        <v>1.5607692553846155</v>
      </c>
      <c r="R85" s="4">
        <f t="shared" si="13"/>
        <v>0.23076923076923078</v>
      </c>
      <c r="S85" s="3">
        <f t="shared" si="9"/>
        <v>6.7633334400000003</v>
      </c>
      <c r="T85" s="4">
        <f t="shared" si="10"/>
        <v>1</v>
      </c>
      <c r="U85" s="3">
        <f t="shared" si="11"/>
        <v>0.35582758093367473</v>
      </c>
      <c r="V85" s="5">
        <f t="shared" si="12"/>
        <v>6.3928042205176272</v>
      </c>
    </row>
    <row r="86" spans="1:22" x14ac:dyDescent="0.3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t="s">
        <v>22</v>
      </c>
      <c r="G86" t="s">
        <v>27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  <c r="P86" s="2">
        <f t="shared" si="7"/>
        <v>1.8338529249954154E-2</v>
      </c>
      <c r="Q86" s="3">
        <f t="shared" si="8"/>
        <v>1.3899999860000001</v>
      </c>
      <c r="R86" s="4">
        <f t="shared" si="13"/>
        <v>1</v>
      </c>
      <c r="S86" s="3">
        <f t="shared" si="9"/>
        <v>1.3899999860000001</v>
      </c>
      <c r="T86" s="4">
        <f t="shared" si="10"/>
        <v>1</v>
      </c>
      <c r="U86" s="3">
        <f t="shared" si="11"/>
        <v>0.25490555400696863</v>
      </c>
      <c r="V86" s="5">
        <f t="shared" si="12"/>
        <v>34.971223383882823</v>
      </c>
    </row>
    <row r="87" spans="1:22" x14ac:dyDescent="0.3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t="s">
        <v>22</v>
      </c>
      <c r="G87" t="s">
        <v>27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  <c r="P87" s="2">
        <f t="shared" si="7"/>
        <v>2.5417266796577138E-2</v>
      </c>
      <c r="Q87" s="3">
        <f t="shared" si="8"/>
        <v>1.480000019</v>
      </c>
      <c r="R87" s="4">
        <f t="shared" si="13"/>
        <v>0</v>
      </c>
      <c r="S87" s="3">
        <f t="shared" si="9"/>
        <v>0</v>
      </c>
      <c r="T87" s="4">
        <f t="shared" si="10"/>
        <v>0</v>
      </c>
      <c r="U87" s="3">
        <f t="shared" si="11"/>
        <v>0.37617555341862235</v>
      </c>
      <c r="V87" s="5">
        <f t="shared" si="12"/>
        <v>-1</v>
      </c>
    </row>
    <row r="88" spans="1:22" x14ac:dyDescent="0.3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t="s">
        <v>22</v>
      </c>
      <c r="G88" t="s">
        <v>27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  <c r="P88" s="2">
        <f t="shared" si="7"/>
        <v>2.3479690068091103E-2</v>
      </c>
      <c r="Q88" s="3">
        <f t="shared" si="8"/>
        <v>1.5700000519999999</v>
      </c>
      <c r="R88" s="4">
        <f t="shared" si="13"/>
        <v>1</v>
      </c>
      <c r="S88" s="3">
        <f t="shared" si="9"/>
        <v>1.5700000519999999</v>
      </c>
      <c r="T88" s="4">
        <f t="shared" si="10"/>
        <v>1</v>
      </c>
      <c r="U88" s="3">
        <f t="shared" si="11"/>
        <v>0.3686311462784691</v>
      </c>
      <c r="V88" s="5">
        <f t="shared" si="12"/>
        <v>30.847132703152297</v>
      </c>
    </row>
    <row r="89" spans="1:22" x14ac:dyDescent="0.3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t="s">
        <v>22</v>
      </c>
      <c r="G89" t="s">
        <v>27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  <c r="P89" s="2">
        <f t="shared" si="7"/>
        <v>0</v>
      </c>
      <c r="Q89" s="3">
        <f t="shared" si="8"/>
        <v>0</v>
      </c>
      <c r="R89" s="4">
        <f t="shared" si="13"/>
        <v>0</v>
      </c>
      <c r="S89" s="3">
        <f t="shared" si="9"/>
        <v>0</v>
      </c>
      <c r="T89" s="4">
        <f t="shared" si="10"/>
        <v>0</v>
      </c>
      <c r="U89" s="3">
        <f t="shared" si="11"/>
        <v>0</v>
      </c>
      <c r="V89" s="5">
        <f t="shared" si="12"/>
        <v>0</v>
      </c>
    </row>
    <row r="90" spans="1:22" x14ac:dyDescent="0.3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t="s">
        <v>22</v>
      </c>
      <c r="G90" t="s">
        <v>27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  <c r="P90" s="2">
        <f t="shared" si="7"/>
        <v>1.8786398647379299E-2</v>
      </c>
      <c r="Q90" s="3">
        <f t="shared" si="8"/>
        <v>1.289999962</v>
      </c>
      <c r="R90" s="4">
        <f t="shared" si="13"/>
        <v>1</v>
      </c>
      <c r="S90" s="3">
        <f t="shared" si="9"/>
        <v>1.289999962</v>
      </c>
      <c r="T90" s="4">
        <f t="shared" si="10"/>
        <v>1</v>
      </c>
      <c r="U90" s="3">
        <f t="shared" si="11"/>
        <v>0.24234453541236145</v>
      </c>
      <c r="V90" s="5">
        <f t="shared" si="12"/>
        <v>37.759691064238957</v>
      </c>
    </row>
    <row r="91" spans="1:22" x14ac:dyDescent="0.3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t="s">
        <v>24</v>
      </c>
      <c r="G91" t="s">
        <v>27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  <c r="P91" s="2">
        <f t="shared" si="7"/>
        <v>1.9904458598726117E-2</v>
      </c>
      <c r="Q91" s="3">
        <f t="shared" si="8"/>
        <v>1.4099999670000001</v>
      </c>
      <c r="R91" s="4">
        <f t="shared" si="13"/>
        <v>1</v>
      </c>
      <c r="S91" s="3">
        <f t="shared" si="9"/>
        <v>1.4099999670000001</v>
      </c>
      <c r="T91" s="4">
        <f t="shared" si="10"/>
        <v>1</v>
      </c>
      <c r="U91" s="3">
        <f t="shared" si="11"/>
        <v>0.2806528596735669</v>
      </c>
      <c r="V91" s="5">
        <f t="shared" si="12"/>
        <v>34.460993737739571</v>
      </c>
    </row>
    <row r="92" spans="1:22" x14ac:dyDescent="0.3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t="s">
        <v>24</v>
      </c>
      <c r="G92" t="s">
        <v>27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  <c r="P92" s="2">
        <f t="shared" si="7"/>
        <v>2.2934026450577173E-2</v>
      </c>
      <c r="Q92" s="3">
        <f t="shared" si="8"/>
        <v>1.3887500016666667</v>
      </c>
      <c r="R92" s="4">
        <f t="shared" si="13"/>
        <v>8.3333333333333329E-2</v>
      </c>
      <c r="S92" s="3">
        <f t="shared" si="9"/>
        <v>16.665000020000001</v>
      </c>
      <c r="T92" s="4">
        <f t="shared" si="10"/>
        <v>0.5</v>
      </c>
      <c r="U92" s="3">
        <f t="shared" si="11"/>
        <v>0.31849629271462426</v>
      </c>
      <c r="V92" s="5">
        <f t="shared" si="12"/>
        <v>2.0003000264022801</v>
      </c>
    </row>
    <row r="93" spans="1:22" x14ac:dyDescent="0.3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t="s">
        <v>24</v>
      </c>
      <c r="G93" t="s">
        <v>27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  <c r="P93" s="2">
        <f t="shared" si="7"/>
        <v>3.5277516462841017E-2</v>
      </c>
      <c r="Q93" s="3">
        <f t="shared" si="8"/>
        <v>1.1133333643333334</v>
      </c>
      <c r="R93" s="4">
        <f t="shared" si="13"/>
        <v>0.33333333333333331</v>
      </c>
      <c r="S93" s="3">
        <f t="shared" si="9"/>
        <v>3.340000093</v>
      </c>
      <c r="T93" s="4">
        <f t="shared" si="10"/>
        <v>1</v>
      </c>
      <c r="U93" s="3">
        <f t="shared" si="11"/>
        <v>0.39275636088899341</v>
      </c>
      <c r="V93" s="5">
        <f t="shared" si="12"/>
        <v>13.970059463408523</v>
      </c>
    </row>
    <row r="94" spans="1:22" x14ac:dyDescent="0.3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t="s">
        <v>24</v>
      </c>
      <c r="G94" t="s">
        <v>27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  <c r="P94" s="2">
        <f t="shared" si="7"/>
        <v>2.9590176061547565E-2</v>
      </c>
      <c r="Q94" s="3">
        <f t="shared" si="8"/>
        <v>1.3416666786666667</v>
      </c>
      <c r="R94" s="4">
        <f t="shared" si="13"/>
        <v>0</v>
      </c>
      <c r="S94" s="3">
        <f t="shared" si="9"/>
        <v>0</v>
      </c>
      <c r="T94" s="4">
        <f t="shared" si="10"/>
        <v>0</v>
      </c>
      <c r="U94" s="3">
        <f t="shared" si="11"/>
        <v>0.39700153237658431</v>
      </c>
      <c r="V94" s="5">
        <f t="shared" si="12"/>
        <v>-1</v>
      </c>
    </row>
    <row r="95" spans="1:22" x14ac:dyDescent="0.3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t="s">
        <v>24</v>
      </c>
      <c r="G95" t="s">
        <v>27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  <c r="P95" s="2">
        <f t="shared" si="7"/>
        <v>3.2250262033379024E-2</v>
      </c>
      <c r="Q95" s="3">
        <f t="shared" si="8"/>
        <v>1.3025000095000001</v>
      </c>
      <c r="R95" s="4">
        <f t="shared" si="13"/>
        <v>0.25</v>
      </c>
      <c r="S95" s="3">
        <f t="shared" si="9"/>
        <v>5.2100000380000004</v>
      </c>
      <c r="T95" s="4">
        <f t="shared" si="10"/>
        <v>1</v>
      </c>
      <c r="U95" s="3">
        <f t="shared" si="11"/>
        <v>0.42005966604853667</v>
      </c>
      <c r="V95" s="5">
        <f t="shared" si="12"/>
        <v>8.5969289127287318</v>
      </c>
    </row>
    <row r="96" spans="1:22" x14ac:dyDescent="0.3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t="s">
        <v>24</v>
      </c>
      <c r="G96" t="s">
        <v>27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  <c r="P96" s="2">
        <f t="shared" si="7"/>
        <v>0</v>
      </c>
      <c r="Q96" s="3">
        <f t="shared" si="8"/>
        <v>0</v>
      </c>
      <c r="R96" s="4">
        <f t="shared" si="13"/>
        <v>0</v>
      </c>
      <c r="S96" s="3">
        <f t="shared" si="9"/>
        <v>0</v>
      </c>
      <c r="T96" s="4">
        <f t="shared" si="10"/>
        <v>1</v>
      </c>
      <c r="U96" s="3">
        <f t="shared" si="11"/>
        <v>0</v>
      </c>
      <c r="V96" s="5">
        <f t="shared" si="12"/>
        <v>0</v>
      </c>
    </row>
    <row r="97" spans="1:22" x14ac:dyDescent="0.3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t="s">
        <v>24</v>
      </c>
      <c r="G97" t="s">
        <v>27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  <c r="P97" s="2">
        <f t="shared" si="7"/>
        <v>0</v>
      </c>
      <c r="Q97" s="3">
        <f t="shared" si="8"/>
        <v>0</v>
      </c>
      <c r="R97" s="4">
        <f t="shared" si="13"/>
        <v>0</v>
      </c>
      <c r="S97" s="3">
        <f t="shared" si="9"/>
        <v>0</v>
      </c>
      <c r="T97" s="4">
        <f t="shared" si="10"/>
        <v>0</v>
      </c>
      <c r="U97" s="3">
        <f t="shared" si="11"/>
        <v>0</v>
      </c>
      <c r="V97" s="5">
        <f t="shared" si="12"/>
        <v>0</v>
      </c>
    </row>
    <row r="98" spans="1:22" x14ac:dyDescent="0.3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t="s">
        <v>24</v>
      </c>
      <c r="G98" t="s">
        <v>27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  <c r="P98" s="2">
        <f t="shared" si="7"/>
        <v>0</v>
      </c>
      <c r="Q98" s="3">
        <f t="shared" si="8"/>
        <v>0</v>
      </c>
      <c r="R98" s="4">
        <f t="shared" si="13"/>
        <v>0</v>
      </c>
      <c r="S98" s="3">
        <f t="shared" si="9"/>
        <v>0</v>
      </c>
      <c r="T98" s="4">
        <f t="shared" si="10"/>
        <v>1</v>
      </c>
      <c r="U98" s="3">
        <f t="shared" si="11"/>
        <v>0</v>
      </c>
      <c r="V98" s="5">
        <f t="shared" si="12"/>
        <v>0</v>
      </c>
    </row>
    <row r="99" spans="1:22" x14ac:dyDescent="0.3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t="s">
        <v>24</v>
      </c>
      <c r="G99" t="s">
        <v>27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  <c r="P99" s="2">
        <f t="shared" si="7"/>
        <v>0</v>
      </c>
      <c r="Q99" s="3">
        <f t="shared" si="8"/>
        <v>0</v>
      </c>
      <c r="R99" s="4">
        <f t="shared" si="13"/>
        <v>0</v>
      </c>
      <c r="S99" s="3">
        <f t="shared" si="9"/>
        <v>0</v>
      </c>
      <c r="T99" s="4">
        <f t="shared" si="10"/>
        <v>0</v>
      </c>
      <c r="U99" s="3">
        <f t="shared" si="11"/>
        <v>0</v>
      </c>
      <c r="V99" s="5">
        <f t="shared" si="12"/>
        <v>0</v>
      </c>
    </row>
    <row r="100" spans="1:22" x14ac:dyDescent="0.3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t="s">
        <v>25</v>
      </c>
      <c r="G100" t="s">
        <v>27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  <c r="P100" s="2">
        <f t="shared" si="7"/>
        <v>0</v>
      </c>
      <c r="Q100" s="3">
        <f t="shared" si="8"/>
        <v>0</v>
      </c>
      <c r="R100" s="4">
        <f t="shared" si="13"/>
        <v>0</v>
      </c>
      <c r="S100" s="3">
        <f t="shared" si="9"/>
        <v>0</v>
      </c>
      <c r="T100" s="4">
        <f t="shared" si="10"/>
        <v>0</v>
      </c>
      <c r="U100" s="3">
        <f t="shared" si="11"/>
        <v>0</v>
      </c>
      <c r="V100" s="5">
        <f t="shared" si="12"/>
        <v>0</v>
      </c>
    </row>
    <row r="101" spans="1:22" x14ac:dyDescent="0.3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t="s">
        <v>25</v>
      </c>
      <c r="G101" t="s">
        <v>27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  <c r="P101" s="2">
        <f t="shared" si="7"/>
        <v>0</v>
      </c>
      <c r="Q101" s="3">
        <f t="shared" si="8"/>
        <v>0</v>
      </c>
      <c r="R101" s="4">
        <f t="shared" si="13"/>
        <v>0</v>
      </c>
      <c r="S101" s="3">
        <f t="shared" si="9"/>
        <v>0</v>
      </c>
      <c r="T101" s="4">
        <f t="shared" si="10"/>
        <v>1</v>
      </c>
      <c r="U101" s="3">
        <f t="shared" si="11"/>
        <v>0</v>
      </c>
      <c r="V101" s="5">
        <f t="shared" si="12"/>
        <v>0</v>
      </c>
    </row>
    <row r="102" spans="1:22" x14ac:dyDescent="0.3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t="s">
        <v>25</v>
      </c>
      <c r="G102" t="s">
        <v>27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  <c r="P102" s="2">
        <f t="shared" si="7"/>
        <v>2.895613146083683E-2</v>
      </c>
      <c r="Q102" s="3">
        <f t="shared" si="8"/>
        <v>1.1749999820000001</v>
      </c>
      <c r="R102" s="4">
        <f t="shared" si="13"/>
        <v>0</v>
      </c>
      <c r="S102" s="3">
        <f t="shared" si="9"/>
        <v>0</v>
      </c>
      <c r="T102" s="4">
        <f t="shared" si="10"/>
        <v>0</v>
      </c>
      <c r="U102" s="3">
        <f t="shared" si="11"/>
        <v>0.34023453945272913</v>
      </c>
      <c r="V102" s="5">
        <f t="shared" si="12"/>
        <v>-1</v>
      </c>
    </row>
    <row r="103" spans="1:22" x14ac:dyDescent="0.3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t="s">
        <v>25</v>
      </c>
      <c r="G103" t="s">
        <v>27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  <c r="P103" s="2">
        <f t="shared" si="7"/>
        <v>3.3303445625720511E-2</v>
      </c>
      <c r="Q103" s="3">
        <f t="shared" si="8"/>
        <v>1.4869230438461538</v>
      </c>
      <c r="R103" s="4">
        <f t="shared" si="13"/>
        <v>0</v>
      </c>
      <c r="S103" s="3">
        <f t="shared" si="9"/>
        <v>0</v>
      </c>
      <c r="T103" s="4">
        <f t="shared" si="10"/>
        <v>0</v>
      </c>
      <c r="U103" s="3">
        <f t="shared" si="11"/>
        <v>0.49519660740361204</v>
      </c>
      <c r="V103" s="5">
        <f t="shared" si="12"/>
        <v>-1</v>
      </c>
    </row>
    <row r="104" spans="1:22" x14ac:dyDescent="0.3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t="s">
        <v>25</v>
      </c>
      <c r="G104" t="s">
        <v>27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  <c r="P104" s="2">
        <f t="shared" si="7"/>
        <v>0</v>
      </c>
      <c r="Q104" s="3">
        <f t="shared" si="8"/>
        <v>0</v>
      </c>
      <c r="R104" s="4">
        <f t="shared" si="13"/>
        <v>0</v>
      </c>
      <c r="S104" s="3">
        <f t="shared" si="9"/>
        <v>0</v>
      </c>
      <c r="T104" s="4">
        <f t="shared" si="10"/>
        <v>0</v>
      </c>
      <c r="U104" s="3">
        <f t="shared" si="11"/>
        <v>0</v>
      </c>
      <c r="V104" s="5">
        <f t="shared" si="12"/>
        <v>0</v>
      </c>
    </row>
    <row r="105" spans="1:22" x14ac:dyDescent="0.3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t="s">
        <v>25</v>
      </c>
      <c r="G105" t="s">
        <v>27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  <c r="P105" s="2">
        <f t="shared" si="7"/>
        <v>2.2665457842248413E-2</v>
      </c>
      <c r="Q105" s="3">
        <f t="shared" si="8"/>
        <v>1.4500000479999999</v>
      </c>
      <c r="R105" s="4">
        <f t="shared" si="13"/>
        <v>0</v>
      </c>
      <c r="S105" s="3">
        <f t="shared" si="9"/>
        <v>0</v>
      </c>
      <c r="T105" s="4">
        <f t="shared" si="10"/>
        <v>0</v>
      </c>
      <c r="U105" s="3">
        <f t="shared" si="11"/>
        <v>0.32864914959202174</v>
      </c>
      <c r="V105" s="5">
        <f t="shared" si="12"/>
        <v>-1</v>
      </c>
    </row>
    <row r="106" spans="1:22" x14ac:dyDescent="0.3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t="s">
        <v>25</v>
      </c>
      <c r="G106" t="s">
        <v>27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  <c r="P106" s="2">
        <f t="shared" si="7"/>
        <v>3.0105368790767684E-2</v>
      </c>
      <c r="Q106" s="3">
        <f t="shared" si="8"/>
        <v>1.3500000239999999</v>
      </c>
      <c r="R106" s="4">
        <f t="shared" si="13"/>
        <v>0</v>
      </c>
      <c r="S106" s="3">
        <f t="shared" si="9"/>
        <v>0</v>
      </c>
      <c r="T106" s="4">
        <f t="shared" si="10"/>
        <v>0</v>
      </c>
      <c r="U106" s="3">
        <f t="shared" si="11"/>
        <v>0.40642248590065222</v>
      </c>
      <c r="V106" s="5">
        <f t="shared" si="12"/>
        <v>-1</v>
      </c>
    </row>
    <row r="107" spans="1:22" x14ac:dyDescent="0.3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t="s">
        <v>26</v>
      </c>
      <c r="G107" t="s">
        <v>27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  <c r="P107" s="2">
        <f t="shared" si="7"/>
        <v>3.1235570524485969E-2</v>
      </c>
      <c r="Q107" s="3">
        <f t="shared" si="8"/>
        <v>1.4339130339130435</v>
      </c>
      <c r="R107" s="4">
        <f t="shared" si="13"/>
        <v>0</v>
      </c>
      <c r="S107" s="3">
        <f t="shared" si="9"/>
        <v>0</v>
      </c>
      <c r="T107" s="4">
        <f t="shared" si="10"/>
        <v>0</v>
      </c>
      <c r="U107" s="3">
        <f t="shared" si="11"/>
        <v>0.44789091696770517</v>
      </c>
      <c r="V107" s="5">
        <f t="shared" si="12"/>
        <v>-1</v>
      </c>
    </row>
    <row r="108" spans="1:22" x14ac:dyDescent="0.3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t="s">
        <v>26</v>
      </c>
      <c r="G108" t="s">
        <v>27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  <c r="P108" s="2">
        <f t="shared" si="7"/>
        <v>2.8691111493659261E-2</v>
      </c>
      <c r="Q108" s="3">
        <f t="shared" si="8"/>
        <v>1.5644999744999999</v>
      </c>
      <c r="R108" s="4">
        <f t="shared" si="13"/>
        <v>0</v>
      </c>
      <c r="S108" s="3">
        <f t="shared" si="9"/>
        <v>0</v>
      </c>
      <c r="T108" s="4">
        <f t="shared" si="10"/>
        <v>0</v>
      </c>
      <c r="U108" s="3">
        <f t="shared" si="11"/>
        <v>0.44887243200206572</v>
      </c>
      <c r="V108" s="5">
        <f t="shared" si="12"/>
        <v>-1</v>
      </c>
    </row>
    <row r="109" spans="1:22" x14ac:dyDescent="0.3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t="s">
        <v>26</v>
      </c>
      <c r="G109" t="s">
        <v>27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  <c r="P109" s="2">
        <f t="shared" si="7"/>
        <v>0</v>
      </c>
      <c r="Q109" s="3">
        <f t="shared" si="8"/>
        <v>0</v>
      </c>
      <c r="R109" s="4">
        <f t="shared" si="13"/>
        <v>0</v>
      </c>
      <c r="S109" s="3">
        <f t="shared" si="9"/>
        <v>0</v>
      </c>
      <c r="T109" s="4">
        <f t="shared" si="10"/>
        <v>0</v>
      </c>
      <c r="U109" s="3">
        <f t="shared" si="11"/>
        <v>0</v>
      </c>
      <c r="V109" s="5">
        <f t="shared" si="12"/>
        <v>0</v>
      </c>
    </row>
    <row r="110" spans="1:22" x14ac:dyDescent="0.3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t="s">
        <v>26</v>
      </c>
      <c r="G110" t="s">
        <v>27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  <c r="P110" s="2">
        <f t="shared" si="7"/>
        <v>4.2084590025952162E-2</v>
      </c>
      <c r="Q110" s="3">
        <f t="shared" si="8"/>
        <v>1.4649999936666667</v>
      </c>
      <c r="R110" s="4">
        <f t="shared" si="13"/>
        <v>0</v>
      </c>
      <c r="S110" s="3">
        <f t="shared" si="9"/>
        <v>0</v>
      </c>
      <c r="T110" s="4">
        <f t="shared" si="10"/>
        <v>0</v>
      </c>
      <c r="U110" s="3">
        <f t="shared" si="11"/>
        <v>0.61653924121484172</v>
      </c>
      <c r="V110" s="5">
        <f t="shared" si="12"/>
        <v>-1</v>
      </c>
    </row>
    <row r="111" spans="1:22" x14ac:dyDescent="0.3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t="s">
        <v>26</v>
      </c>
      <c r="G111" t="s">
        <v>27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  <c r="P111" s="2">
        <f t="shared" si="7"/>
        <v>2.4555544641980159E-2</v>
      </c>
      <c r="Q111" s="3">
        <f t="shared" si="8"/>
        <v>1.8239999772000002</v>
      </c>
      <c r="R111" s="4">
        <f t="shared" si="13"/>
        <v>0.2</v>
      </c>
      <c r="S111" s="3">
        <f t="shared" si="9"/>
        <v>9.1199998860000004</v>
      </c>
      <c r="T111" s="4">
        <f t="shared" si="10"/>
        <v>1</v>
      </c>
      <c r="U111" s="3">
        <f t="shared" si="11"/>
        <v>0.44789312867105396</v>
      </c>
      <c r="V111" s="5">
        <f t="shared" si="12"/>
        <v>4.4824562088815796</v>
      </c>
    </row>
    <row r="112" spans="1:22" x14ac:dyDescent="0.3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t="s">
        <v>26</v>
      </c>
      <c r="G112" t="s">
        <v>27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  <c r="P112" s="2">
        <f t="shared" si="7"/>
        <v>3.2746623004502658E-2</v>
      </c>
      <c r="Q112" s="3">
        <f t="shared" si="8"/>
        <v>1.5650000275</v>
      </c>
      <c r="R112" s="4">
        <f t="shared" si="13"/>
        <v>0</v>
      </c>
      <c r="S112" s="3">
        <f t="shared" si="9"/>
        <v>0</v>
      </c>
      <c r="T112" s="4">
        <f t="shared" si="10"/>
        <v>0</v>
      </c>
      <c r="U112" s="3">
        <f t="shared" si="11"/>
        <v>0.51248465902578799</v>
      </c>
      <c r="V112" s="5">
        <f t="shared" si="12"/>
        <v>-1</v>
      </c>
    </row>
    <row r="113" spans="1:22" x14ac:dyDescent="0.3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t="s">
        <v>26</v>
      </c>
      <c r="G113" t="s">
        <v>27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  <c r="P113" s="2">
        <f t="shared" si="7"/>
        <v>3.2782278836697418E-2</v>
      </c>
      <c r="Q113" s="3">
        <f t="shared" si="8"/>
        <v>1.3799999996428571</v>
      </c>
      <c r="R113" s="4">
        <f t="shared" si="13"/>
        <v>3.5714285714285712E-2</v>
      </c>
      <c r="S113" s="3">
        <f t="shared" si="9"/>
        <v>38.63999999</v>
      </c>
      <c r="T113" s="4">
        <f t="shared" si="10"/>
        <v>0.5</v>
      </c>
      <c r="U113" s="3">
        <f t="shared" si="11"/>
        <v>0.45239544782934482</v>
      </c>
      <c r="V113" s="5">
        <f t="shared" si="12"/>
        <v>0.29399585954813556</v>
      </c>
    </row>
    <row r="114" spans="1:22" x14ac:dyDescent="0.3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t="s">
        <v>22</v>
      </c>
      <c r="G114" t="s">
        <v>23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  <c r="P114" s="2">
        <f t="shared" si="7"/>
        <v>4.2771599657827203E-2</v>
      </c>
      <c r="Q114" s="3">
        <f t="shared" si="8"/>
        <v>0.23999999499999999</v>
      </c>
      <c r="R114" s="4">
        <f t="shared" si="13"/>
        <v>0</v>
      </c>
      <c r="S114" s="3">
        <f t="shared" si="9"/>
        <v>0</v>
      </c>
      <c r="T114" s="4">
        <f t="shared" si="10"/>
        <v>0</v>
      </c>
      <c r="U114" s="3">
        <f t="shared" si="11"/>
        <v>0.10265183704020529</v>
      </c>
      <c r="V114" s="5">
        <f t="shared" si="12"/>
        <v>-1</v>
      </c>
    </row>
    <row r="115" spans="1:22" x14ac:dyDescent="0.3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t="s">
        <v>22</v>
      </c>
      <c r="G115" t="s">
        <v>23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  <c r="P115" s="2">
        <f t="shared" si="7"/>
        <v>0</v>
      </c>
      <c r="Q115" s="3">
        <f t="shared" si="8"/>
        <v>0</v>
      </c>
      <c r="R115" s="4">
        <f t="shared" si="13"/>
        <v>0</v>
      </c>
      <c r="S115" s="3">
        <f t="shared" si="9"/>
        <v>0</v>
      </c>
      <c r="T115" s="4">
        <f t="shared" si="10"/>
        <v>0</v>
      </c>
      <c r="U115" s="3">
        <f t="shared" si="11"/>
        <v>0</v>
      </c>
      <c r="V115" s="5">
        <f t="shared" si="12"/>
        <v>0</v>
      </c>
    </row>
    <row r="116" spans="1:22" x14ac:dyDescent="0.3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t="s">
        <v>22</v>
      </c>
      <c r="G116" t="s">
        <v>23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  <c r="P116" s="2">
        <f t="shared" si="7"/>
        <v>0</v>
      </c>
      <c r="Q116" s="3">
        <f t="shared" si="8"/>
        <v>0</v>
      </c>
      <c r="R116" s="4">
        <f t="shared" si="13"/>
        <v>0</v>
      </c>
      <c r="S116" s="3">
        <f t="shared" si="9"/>
        <v>0</v>
      </c>
      <c r="T116" s="4">
        <f t="shared" si="10"/>
        <v>0</v>
      </c>
      <c r="U116" s="3">
        <f t="shared" si="11"/>
        <v>0</v>
      </c>
      <c r="V116" s="5">
        <f t="shared" si="12"/>
        <v>0</v>
      </c>
    </row>
    <row r="117" spans="1:22" x14ac:dyDescent="0.3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t="s">
        <v>22</v>
      </c>
      <c r="G117" t="s">
        <v>23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  <c r="P117" s="2">
        <f t="shared" si="7"/>
        <v>0</v>
      </c>
      <c r="Q117" s="3">
        <f t="shared" si="8"/>
        <v>0</v>
      </c>
      <c r="R117" s="4">
        <f t="shared" si="13"/>
        <v>0</v>
      </c>
      <c r="S117" s="3">
        <f t="shared" si="9"/>
        <v>0</v>
      </c>
      <c r="T117" s="4">
        <f t="shared" si="10"/>
        <v>0</v>
      </c>
      <c r="U117" s="3">
        <f t="shared" si="11"/>
        <v>0</v>
      </c>
      <c r="V117" s="5">
        <f t="shared" si="12"/>
        <v>0</v>
      </c>
    </row>
    <row r="118" spans="1:22" x14ac:dyDescent="0.3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t="s">
        <v>22</v>
      </c>
      <c r="G118" t="s">
        <v>23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  <c r="P118" s="2">
        <f t="shared" si="7"/>
        <v>2.5700334104343359E-2</v>
      </c>
      <c r="Q118" s="3">
        <f t="shared" si="8"/>
        <v>1.0900000329999999</v>
      </c>
      <c r="R118" s="4">
        <f t="shared" si="13"/>
        <v>0</v>
      </c>
      <c r="S118" s="3">
        <f t="shared" si="9"/>
        <v>0</v>
      </c>
      <c r="T118" s="4">
        <f t="shared" si="10"/>
        <v>0</v>
      </c>
      <c r="U118" s="3">
        <f t="shared" si="11"/>
        <v>0.28013365021845282</v>
      </c>
      <c r="V118" s="5">
        <f t="shared" si="12"/>
        <v>-1</v>
      </c>
    </row>
    <row r="119" spans="1:22" x14ac:dyDescent="0.3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t="s">
        <v>22</v>
      </c>
      <c r="G119" t="s">
        <v>23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  <c r="P119" s="2">
        <f t="shared" si="7"/>
        <v>0</v>
      </c>
      <c r="Q119" s="3">
        <f t="shared" si="8"/>
        <v>0</v>
      </c>
      <c r="R119" s="4">
        <f t="shared" si="13"/>
        <v>0</v>
      </c>
      <c r="S119" s="3">
        <f t="shared" si="9"/>
        <v>0</v>
      </c>
      <c r="T119" s="4">
        <f t="shared" si="10"/>
        <v>0</v>
      </c>
      <c r="U119" s="3">
        <f t="shared" si="11"/>
        <v>0</v>
      </c>
      <c r="V119" s="5">
        <f t="shared" si="12"/>
        <v>0</v>
      </c>
    </row>
    <row r="120" spans="1:22" x14ac:dyDescent="0.3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t="s">
        <v>22</v>
      </c>
      <c r="G120" t="s">
        <v>23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  <c r="P120" s="2">
        <f t="shared" si="7"/>
        <v>0</v>
      </c>
      <c r="Q120" s="3">
        <f t="shared" si="8"/>
        <v>0</v>
      </c>
      <c r="R120" s="4">
        <f t="shared" si="13"/>
        <v>0</v>
      </c>
      <c r="S120" s="3">
        <f t="shared" si="9"/>
        <v>0</v>
      </c>
      <c r="T120" s="4">
        <f t="shared" si="10"/>
        <v>0</v>
      </c>
      <c r="U120" s="3">
        <f t="shared" si="11"/>
        <v>0</v>
      </c>
      <c r="V120" s="5">
        <f t="shared" si="12"/>
        <v>0</v>
      </c>
    </row>
    <row r="121" spans="1:22" x14ac:dyDescent="0.3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t="s">
        <v>24</v>
      </c>
      <c r="G121" t="s">
        <v>23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  <c r="P121" s="2">
        <f t="shared" si="7"/>
        <v>0</v>
      </c>
      <c r="Q121" s="3">
        <f t="shared" si="8"/>
        <v>0</v>
      </c>
      <c r="R121" s="4">
        <f t="shared" si="13"/>
        <v>0</v>
      </c>
      <c r="S121" s="3">
        <f t="shared" si="9"/>
        <v>0</v>
      </c>
      <c r="T121" s="4">
        <f t="shared" si="10"/>
        <v>0</v>
      </c>
      <c r="U121" s="3">
        <f t="shared" si="11"/>
        <v>0</v>
      </c>
      <c r="V121" s="5">
        <f t="shared" si="12"/>
        <v>0</v>
      </c>
    </row>
    <row r="122" spans="1:22" x14ac:dyDescent="0.3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t="s">
        <v>24</v>
      </c>
      <c r="G122" t="s">
        <v>23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  <c r="P122" s="2">
        <f t="shared" si="7"/>
        <v>1.7858737387266718E-2</v>
      </c>
      <c r="Q122" s="3">
        <f t="shared" si="8"/>
        <v>1.3400000335</v>
      </c>
      <c r="R122" s="4">
        <f t="shared" si="13"/>
        <v>0</v>
      </c>
      <c r="S122" s="3">
        <f t="shared" si="9"/>
        <v>0</v>
      </c>
      <c r="T122" s="4">
        <f t="shared" si="10"/>
        <v>0</v>
      </c>
      <c r="U122" s="3">
        <f t="shared" si="11"/>
        <v>0.23930708697205108</v>
      </c>
      <c r="V122" s="5">
        <f t="shared" si="12"/>
        <v>-1</v>
      </c>
    </row>
    <row r="123" spans="1:22" x14ac:dyDescent="0.3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t="s">
        <v>24</v>
      </c>
      <c r="G123" t="s">
        <v>23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  <c r="P123" s="2">
        <f t="shared" si="7"/>
        <v>3.5236081747709654E-2</v>
      </c>
      <c r="Q123" s="3">
        <f t="shared" si="8"/>
        <v>1.5049999949999999</v>
      </c>
      <c r="R123" s="4">
        <f t="shared" si="13"/>
        <v>0</v>
      </c>
      <c r="S123" s="3">
        <f t="shared" si="9"/>
        <v>0</v>
      </c>
      <c r="T123" s="4">
        <f t="shared" si="10"/>
        <v>0</v>
      </c>
      <c r="U123" s="3">
        <f t="shared" si="11"/>
        <v>0.53030302854122624</v>
      </c>
      <c r="V123" s="5">
        <f t="shared" si="12"/>
        <v>-1</v>
      </c>
    </row>
    <row r="124" spans="1:22" x14ac:dyDescent="0.3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t="s">
        <v>25</v>
      </c>
      <c r="G124" t="s">
        <v>23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  <c r="P124" s="2">
        <f t="shared" si="7"/>
        <v>0</v>
      </c>
      <c r="Q124" s="3">
        <f t="shared" si="8"/>
        <v>0</v>
      </c>
      <c r="R124" s="4">
        <f t="shared" si="13"/>
        <v>0</v>
      </c>
      <c r="S124" s="3">
        <f t="shared" si="9"/>
        <v>0</v>
      </c>
      <c r="T124" s="4">
        <f t="shared" si="10"/>
        <v>0</v>
      </c>
      <c r="U124" s="3">
        <f t="shared" si="11"/>
        <v>0</v>
      </c>
      <c r="V124" s="5">
        <f t="shared" si="12"/>
        <v>0</v>
      </c>
    </row>
    <row r="125" spans="1:22" x14ac:dyDescent="0.3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t="s">
        <v>25</v>
      </c>
      <c r="G125" t="s">
        <v>23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  <c r="P125" s="2">
        <f t="shared" si="7"/>
        <v>4.6554934823091247E-2</v>
      </c>
      <c r="Q125" s="3">
        <f t="shared" si="8"/>
        <v>1.5800000430000001</v>
      </c>
      <c r="R125" s="4">
        <f t="shared" si="13"/>
        <v>1</v>
      </c>
      <c r="S125" s="3">
        <f t="shared" si="9"/>
        <v>1.5800000430000001</v>
      </c>
      <c r="T125" s="4">
        <f t="shared" si="10"/>
        <v>1</v>
      </c>
      <c r="U125" s="3">
        <f t="shared" si="11"/>
        <v>0.73556799022346364</v>
      </c>
      <c r="V125" s="5">
        <f t="shared" si="12"/>
        <v>30.645568759013003</v>
      </c>
    </row>
    <row r="126" spans="1:22" x14ac:dyDescent="0.3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t="s">
        <v>26</v>
      </c>
      <c r="G126" t="s">
        <v>23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  <c r="P126" s="2">
        <f t="shared" si="7"/>
        <v>2.2025946565053633E-2</v>
      </c>
      <c r="Q126" s="3">
        <f t="shared" si="8"/>
        <v>1.4060000420000001</v>
      </c>
      <c r="R126" s="4">
        <f t="shared" si="13"/>
        <v>0</v>
      </c>
      <c r="S126" s="3">
        <f t="shared" si="9"/>
        <v>0</v>
      </c>
      <c r="T126" s="4">
        <f t="shared" si="10"/>
        <v>0</v>
      </c>
      <c r="U126" s="3">
        <f t="shared" si="11"/>
        <v>0.30968481795555158</v>
      </c>
      <c r="V126" s="5">
        <f t="shared" si="12"/>
        <v>-1</v>
      </c>
    </row>
    <row r="127" spans="1:22" x14ac:dyDescent="0.3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t="s">
        <v>26</v>
      </c>
      <c r="G127" t="s">
        <v>23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  <c r="P127" s="2">
        <f t="shared" si="7"/>
        <v>2.6745119015779618E-2</v>
      </c>
      <c r="Q127" s="3">
        <f t="shared" si="8"/>
        <v>1.4500000475000001</v>
      </c>
      <c r="R127" s="4">
        <f t="shared" si="13"/>
        <v>0.5</v>
      </c>
      <c r="S127" s="3">
        <f t="shared" si="9"/>
        <v>2.9000000950000002</v>
      </c>
      <c r="T127" s="4">
        <f t="shared" si="10"/>
        <v>1</v>
      </c>
      <c r="U127" s="3">
        <f t="shared" si="11"/>
        <v>0.38780423843273609</v>
      </c>
      <c r="V127" s="5">
        <f t="shared" si="12"/>
        <v>16.241378745541038</v>
      </c>
    </row>
    <row r="128" spans="1:22" x14ac:dyDescent="0.3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t="s">
        <v>26</v>
      </c>
      <c r="G128" t="s">
        <v>23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  <c r="P128" s="2">
        <f t="shared" si="7"/>
        <v>2.0329335230737954E-2</v>
      </c>
      <c r="Q128" s="3">
        <f t="shared" si="8"/>
        <v>1.5900000329999999</v>
      </c>
      <c r="R128" s="4">
        <f t="shared" si="13"/>
        <v>0</v>
      </c>
      <c r="S128" s="3">
        <f t="shared" si="9"/>
        <v>0</v>
      </c>
      <c r="T128" s="4">
        <f t="shared" si="10"/>
        <v>0</v>
      </c>
      <c r="U128" s="3">
        <f t="shared" si="11"/>
        <v>0.3232364368774141</v>
      </c>
      <c r="V128" s="5">
        <f t="shared" si="12"/>
        <v>-1</v>
      </c>
    </row>
    <row r="129" spans="1:22" x14ac:dyDescent="0.3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t="s">
        <v>26</v>
      </c>
      <c r="G129" t="s">
        <v>23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  <c r="P129" s="2">
        <f t="shared" si="7"/>
        <v>0</v>
      </c>
      <c r="Q129" s="3">
        <f t="shared" si="8"/>
        <v>0</v>
      </c>
      <c r="R129" s="4">
        <f t="shared" si="13"/>
        <v>0</v>
      </c>
      <c r="S129" s="3">
        <f t="shared" si="9"/>
        <v>0</v>
      </c>
      <c r="T129" s="4">
        <f t="shared" si="10"/>
        <v>1</v>
      </c>
      <c r="U129" s="3">
        <f t="shared" si="11"/>
        <v>0</v>
      </c>
      <c r="V129" s="5">
        <f t="shared" si="12"/>
        <v>0</v>
      </c>
    </row>
    <row r="130" spans="1:22" x14ac:dyDescent="0.3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t="s">
        <v>26</v>
      </c>
      <c r="G130" t="s">
        <v>23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  <c r="P130" s="2">
        <f t="shared" ref="P130:P193" si="14">IF(K130&gt;0, (L130/K130)*100, 0)</f>
        <v>0</v>
      </c>
      <c r="Q130" s="3">
        <f t="shared" ref="Q130:Q193" si="15">IF(L130&gt;0, M130/L130, 0)</f>
        <v>0</v>
      </c>
      <c r="R130" s="4">
        <f t="shared" si="13"/>
        <v>0</v>
      </c>
      <c r="S130" s="3">
        <f t="shared" ref="S130:S193" si="16">IF(O130&gt;0, M130/O130, 0)</f>
        <v>0</v>
      </c>
      <c r="T130" s="4">
        <f t="shared" ref="T130:T193" si="17">IF(N130&gt;0, O130/N130, 0)</f>
        <v>1</v>
      </c>
      <c r="U130" s="3">
        <f t="shared" ref="U130:U193" si="18">IF(K130&gt;0, (M130/K130)*1000, 0)</f>
        <v>0</v>
      </c>
      <c r="V130" s="5">
        <f t="shared" ref="V130:V193" si="19">IF(M130&gt;0, ((O130*50)-M130)/M130, 0)</f>
        <v>0</v>
      </c>
    </row>
    <row r="131" spans="1:22" x14ac:dyDescent="0.3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t="s">
        <v>22</v>
      </c>
      <c r="G131" t="s">
        <v>27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  <c r="P131" s="2">
        <f t="shared" si="14"/>
        <v>1.7091095539224065E-2</v>
      </c>
      <c r="Q131" s="3">
        <f t="shared" si="15"/>
        <v>1.530000051</v>
      </c>
      <c r="R131" s="4">
        <f t="shared" ref="R131:R194" si="20">IF(L131&gt;0, O131/L131, 0)</f>
        <v>0</v>
      </c>
      <c r="S131" s="3">
        <f t="shared" si="16"/>
        <v>0</v>
      </c>
      <c r="T131" s="4">
        <f t="shared" si="17"/>
        <v>0</v>
      </c>
      <c r="U131" s="3">
        <f t="shared" si="18"/>
        <v>0.26149377046658689</v>
      </c>
      <c r="V131" s="5">
        <f t="shared" si="19"/>
        <v>-1</v>
      </c>
    </row>
    <row r="132" spans="1:22" x14ac:dyDescent="0.3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t="s">
        <v>22</v>
      </c>
      <c r="G132" t="s">
        <v>27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  <c r="P132" s="2">
        <f t="shared" si="14"/>
        <v>2.9913251570445706E-2</v>
      </c>
      <c r="Q132" s="3">
        <f t="shared" si="15"/>
        <v>0.540000021</v>
      </c>
      <c r="R132" s="4">
        <f t="shared" si="20"/>
        <v>0</v>
      </c>
      <c r="S132" s="3">
        <f t="shared" si="16"/>
        <v>0</v>
      </c>
      <c r="T132" s="4">
        <f t="shared" si="17"/>
        <v>0</v>
      </c>
      <c r="U132" s="3">
        <f t="shared" si="18"/>
        <v>0.16153156476218963</v>
      </c>
      <c r="V132" s="5">
        <f t="shared" si="19"/>
        <v>-1</v>
      </c>
    </row>
    <row r="133" spans="1:22" x14ac:dyDescent="0.3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t="s">
        <v>22</v>
      </c>
      <c r="G133" t="s">
        <v>27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  <c r="P133" s="2">
        <f t="shared" si="14"/>
        <v>0</v>
      </c>
      <c r="Q133" s="3">
        <f t="shared" si="15"/>
        <v>0</v>
      </c>
      <c r="R133" s="4">
        <f t="shared" si="20"/>
        <v>0</v>
      </c>
      <c r="S133" s="3">
        <f t="shared" si="16"/>
        <v>0</v>
      </c>
      <c r="T133" s="4">
        <f t="shared" si="17"/>
        <v>0</v>
      </c>
      <c r="U133" s="3">
        <f t="shared" si="18"/>
        <v>0</v>
      </c>
      <c r="V133" s="5">
        <f t="shared" si="19"/>
        <v>0</v>
      </c>
    </row>
    <row r="134" spans="1:22" x14ac:dyDescent="0.3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t="s">
        <v>22</v>
      </c>
      <c r="G134" t="s">
        <v>27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  <c r="P134" s="2">
        <f t="shared" si="14"/>
        <v>0</v>
      </c>
      <c r="Q134" s="3">
        <f t="shared" si="15"/>
        <v>0</v>
      </c>
      <c r="R134" s="4">
        <f t="shared" si="20"/>
        <v>0</v>
      </c>
      <c r="S134" s="3">
        <f t="shared" si="16"/>
        <v>0</v>
      </c>
      <c r="T134" s="4">
        <f t="shared" si="17"/>
        <v>0</v>
      </c>
      <c r="U134" s="3">
        <f t="shared" si="18"/>
        <v>0</v>
      </c>
      <c r="V134" s="5">
        <f t="shared" si="19"/>
        <v>0</v>
      </c>
    </row>
    <row r="135" spans="1:22" x14ac:dyDescent="0.3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t="s">
        <v>22</v>
      </c>
      <c r="G135" t="s">
        <v>27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  <c r="P135" s="2">
        <f t="shared" si="14"/>
        <v>2.0149683362118594E-2</v>
      </c>
      <c r="Q135" s="3">
        <f t="shared" si="15"/>
        <v>1.9157142985714286</v>
      </c>
      <c r="R135" s="4">
        <f t="shared" si="20"/>
        <v>0.14285714285714285</v>
      </c>
      <c r="S135" s="3">
        <f t="shared" si="16"/>
        <v>13.41000009</v>
      </c>
      <c r="T135" s="4">
        <f t="shared" si="17"/>
        <v>1</v>
      </c>
      <c r="U135" s="3">
        <f t="shared" si="18"/>
        <v>0.38601036528497407</v>
      </c>
      <c r="V135" s="5">
        <f t="shared" si="19"/>
        <v>2.7285607505167437</v>
      </c>
    </row>
    <row r="136" spans="1:22" x14ac:dyDescent="0.3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t="s">
        <v>22</v>
      </c>
      <c r="G136" t="s">
        <v>27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  <c r="P136" s="2">
        <f t="shared" si="14"/>
        <v>0</v>
      </c>
      <c r="Q136" s="3">
        <f t="shared" si="15"/>
        <v>0</v>
      </c>
      <c r="R136" s="4">
        <f t="shared" si="20"/>
        <v>0</v>
      </c>
      <c r="S136" s="3">
        <f t="shared" si="16"/>
        <v>0</v>
      </c>
      <c r="T136" s="4">
        <f t="shared" si="17"/>
        <v>0</v>
      </c>
      <c r="U136" s="3">
        <f t="shared" si="18"/>
        <v>0</v>
      </c>
      <c r="V136" s="5">
        <f t="shared" si="19"/>
        <v>0</v>
      </c>
    </row>
    <row r="137" spans="1:22" x14ac:dyDescent="0.3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t="s">
        <v>22</v>
      </c>
      <c r="G137" t="s">
        <v>27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  <c r="P137" s="2">
        <f t="shared" si="14"/>
        <v>0</v>
      </c>
      <c r="Q137" s="3">
        <f t="shared" si="15"/>
        <v>0</v>
      </c>
      <c r="R137" s="4">
        <f t="shared" si="20"/>
        <v>0</v>
      </c>
      <c r="S137" s="3">
        <f t="shared" si="16"/>
        <v>0</v>
      </c>
      <c r="T137" s="4">
        <f t="shared" si="17"/>
        <v>0</v>
      </c>
      <c r="U137" s="3">
        <f t="shared" si="18"/>
        <v>0</v>
      </c>
      <c r="V137" s="5">
        <f t="shared" si="19"/>
        <v>0</v>
      </c>
    </row>
    <row r="138" spans="1:22" x14ac:dyDescent="0.3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t="s">
        <v>24</v>
      </c>
      <c r="G138" t="s">
        <v>27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  <c r="P138" s="2">
        <f t="shared" si="14"/>
        <v>3.3222591362126248E-2</v>
      </c>
      <c r="Q138" s="3">
        <f t="shared" si="15"/>
        <v>0.86000001400000003</v>
      </c>
      <c r="R138" s="4">
        <f t="shared" si="20"/>
        <v>1</v>
      </c>
      <c r="S138" s="3">
        <f t="shared" si="16"/>
        <v>0.86000001400000003</v>
      </c>
      <c r="T138" s="4">
        <f t="shared" si="17"/>
        <v>1</v>
      </c>
      <c r="U138" s="3">
        <f t="shared" si="18"/>
        <v>0.28571429036544849</v>
      </c>
      <c r="V138" s="5">
        <f t="shared" si="19"/>
        <v>57.139533937263401</v>
      </c>
    </row>
    <row r="139" spans="1:22" x14ac:dyDescent="0.3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t="s">
        <v>25</v>
      </c>
      <c r="G139" t="s">
        <v>27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  <c r="P139" s="2">
        <f t="shared" si="14"/>
        <v>3.3233632436025257E-2</v>
      </c>
      <c r="Q139" s="3">
        <f t="shared" si="15"/>
        <v>1.1966667177777779</v>
      </c>
      <c r="R139" s="4">
        <f t="shared" si="20"/>
        <v>0.1111111111111111</v>
      </c>
      <c r="S139" s="3">
        <f t="shared" si="16"/>
        <v>10.77000046</v>
      </c>
      <c r="T139" s="4">
        <f t="shared" si="17"/>
        <v>1</v>
      </c>
      <c r="U139" s="3">
        <f t="shared" si="18"/>
        <v>0.39769581847051438</v>
      </c>
      <c r="V139" s="5">
        <f t="shared" si="19"/>
        <v>3.6425253356024463</v>
      </c>
    </row>
    <row r="140" spans="1:22" x14ac:dyDescent="0.3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t="s">
        <v>25</v>
      </c>
      <c r="G140" t="s">
        <v>27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  <c r="P140" s="2">
        <f t="shared" si="14"/>
        <v>1.9769683190826868E-2</v>
      </c>
      <c r="Q140" s="3">
        <f t="shared" si="15"/>
        <v>1.39750003825</v>
      </c>
      <c r="R140" s="4">
        <f t="shared" si="20"/>
        <v>0</v>
      </c>
      <c r="S140" s="3">
        <f t="shared" si="16"/>
        <v>0</v>
      </c>
      <c r="T140" s="4">
        <f t="shared" si="17"/>
        <v>0</v>
      </c>
      <c r="U140" s="3">
        <f t="shared" si="18"/>
        <v>0.27628133015370931</v>
      </c>
      <c r="V140" s="5">
        <f t="shared" si="19"/>
        <v>-1</v>
      </c>
    </row>
    <row r="141" spans="1:22" x14ac:dyDescent="0.3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t="s">
        <v>25</v>
      </c>
      <c r="G141" t="s">
        <v>27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  <c r="P141" s="2">
        <f t="shared" si="14"/>
        <v>2.4463335575805763E-2</v>
      </c>
      <c r="Q141" s="3">
        <f t="shared" si="15"/>
        <v>1.6155555677777778</v>
      </c>
      <c r="R141" s="4">
        <f t="shared" si="20"/>
        <v>2.7777777777777776E-2</v>
      </c>
      <c r="S141" s="3">
        <f t="shared" si="16"/>
        <v>58.160000439999997</v>
      </c>
      <c r="T141" s="4">
        <f t="shared" si="17"/>
        <v>0.33333333333333331</v>
      </c>
      <c r="U141" s="3">
        <f t="shared" si="18"/>
        <v>0.39521877995909188</v>
      </c>
      <c r="V141" s="5">
        <f t="shared" si="19"/>
        <v>-0.14030261998395538</v>
      </c>
    </row>
    <row r="142" spans="1:22" x14ac:dyDescent="0.3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t="s">
        <v>25</v>
      </c>
      <c r="G142" t="s">
        <v>27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  <c r="P142" s="2">
        <f t="shared" si="14"/>
        <v>3.2311669128508122E-2</v>
      </c>
      <c r="Q142" s="3">
        <f t="shared" si="15"/>
        <v>1.5171428242857143</v>
      </c>
      <c r="R142" s="4">
        <f t="shared" si="20"/>
        <v>0.14285714285714285</v>
      </c>
      <c r="S142" s="3">
        <f t="shared" si="16"/>
        <v>10.61999977</v>
      </c>
      <c r="T142" s="4">
        <f t="shared" si="17"/>
        <v>1</v>
      </c>
      <c r="U142" s="3">
        <f t="shared" si="18"/>
        <v>0.49021416959010333</v>
      </c>
      <c r="V142" s="5">
        <f t="shared" si="19"/>
        <v>3.70809803040137</v>
      </c>
    </row>
    <row r="143" spans="1:22" x14ac:dyDescent="0.3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t="s">
        <v>25</v>
      </c>
      <c r="G143" t="s">
        <v>27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  <c r="P143" s="2">
        <f t="shared" si="14"/>
        <v>4.3898156277436345E-2</v>
      </c>
      <c r="Q143" s="3">
        <f t="shared" si="15"/>
        <v>1.3650000095000001</v>
      </c>
      <c r="R143" s="4">
        <f t="shared" si="20"/>
        <v>0.25</v>
      </c>
      <c r="S143" s="3">
        <f t="shared" si="16"/>
        <v>5.4600000380000004</v>
      </c>
      <c r="T143" s="4">
        <f t="shared" si="17"/>
        <v>1</v>
      </c>
      <c r="U143" s="3">
        <f t="shared" si="18"/>
        <v>0.59920983735733102</v>
      </c>
      <c r="V143" s="5">
        <f t="shared" si="19"/>
        <v>8.1575090937755768</v>
      </c>
    </row>
    <row r="144" spans="1:22" x14ac:dyDescent="0.3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t="s">
        <v>25</v>
      </c>
      <c r="G144" t="s">
        <v>27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  <c r="P144" s="2">
        <f t="shared" si="14"/>
        <v>0</v>
      </c>
      <c r="Q144" s="3">
        <f t="shared" si="15"/>
        <v>0</v>
      </c>
      <c r="R144" s="4">
        <f t="shared" si="20"/>
        <v>0</v>
      </c>
      <c r="S144" s="3">
        <f t="shared" si="16"/>
        <v>0</v>
      </c>
      <c r="T144" s="4">
        <f t="shared" si="17"/>
        <v>0</v>
      </c>
      <c r="U144" s="3">
        <f t="shared" si="18"/>
        <v>0</v>
      </c>
      <c r="V144" s="5">
        <f t="shared" si="19"/>
        <v>0</v>
      </c>
    </row>
    <row r="145" spans="1:22" x14ac:dyDescent="0.3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t="s">
        <v>25</v>
      </c>
      <c r="G145" t="s">
        <v>27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  <c r="P145" s="2">
        <f t="shared" si="14"/>
        <v>0</v>
      </c>
      <c r="Q145" s="3">
        <f t="shared" si="15"/>
        <v>0</v>
      </c>
      <c r="R145" s="4">
        <f t="shared" si="20"/>
        <v>0</v>
      </c>
      <c r="S145" s="3">
        <f t="shared" si="16"/>
        <v>0</v>
      </c>
      <c r="T145" s="4">
        <f t="shared" si="17"/>
        <v>1</v>
      </c>
      <c r="U145" s="3">
        <f t="shared" si="18"/>
        <v>0</v>
      </c>
      <c r="V145" s="5">
        <f t="shared" si="19"/>
        <v>0</v>
      </c>
    </row>
    <row r="146" spans="1:22" x14ac:dyDescent="0.3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t="s">
        <v>25</v>
      </c>
      <c r="G146" t="s">
        <v>27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  <c r="P146" s="2">
        <f t="shared" si="14"/>
        <v>0</v>
      </c>
      <c r="Q146" s="3">
        <f t="shared" si="15"/>
        <v>0</v>
      </c>
      <c r="R146" s="4">
        <f t="shared" si="20"/>
        <v>0</v>
      </c>
      <c r="S146" s="3">
        <f t="shared" si="16"/>
        <v>0</v>
      </c>
      <c r="T146" s="4">
        <f t="shared" si="17"/>
        <v>0</v>
      </c>
      <c r="U146" s="3">
        <f t="shared" si="18"/>
        <v>0</v>
      </c>
      <c r="V146" s="5">
        <f t="shared" si="19"/>
        <v>0</v>
      </c>
    </row>
    <row r="147" spans="1:22" x14ac:dyDescent="0.3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t="s">
        <v>26</v>
      </c>
      <c r="G147" t="s">
        <v>27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  <c r="P147" s="2">
        <f t="shared" si="14"/>
        <v>3.2502708559046592E-2</v>
      </c>
      <c r="Q147" s="3">
        <f t="shared" si="15"/>
        <v>1.3453333219999999</v>
      </c>
      <c r="R147" s="4">
        <f t="shared" si="20"/>
        <v>6.6666666666666666E-2</v>
      </c>
      <c r="S147" s="3">
        <f t="shared" si="16"/>
        <v>20.17999983</v>
      </c>
      <c r="T147" s="4">
        <f t="shared" si="17"/>
        <v>1</v>
      </c>
      <c r="U147" s="3">
        <f t="shared" si="18"/>
        <v>0.43726976879739976</v>
      </c>
      <c r="V147" s="5">
        <f t="shared" si="19"/>
        <v>1.4777007146287968</v>
      </c>
    </row>
    <row r="148" spans="1:22" x14ac:dyDescent="0.3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t="s">
        <v>26</v>
      </c>
      <c r="G148" t="s">
        <v>27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  <c r="P148" s="2">
        <f t="shared" si="14"/>
        <v>2.349029304140569E-2</v>
      </c>
      <c r="Q148" s="3">
        <f t="shared" si="15"/>
        <v>1.520517221551724</v>
      </c>
      <c r="R148" s="4">
        <f t="shared" si="20"/>
        <v>8.6206896551724137E-3</v>
      </c>
      <c r="S148" s="3">
        <f t="shared" si="16"/>
        <v>176.37999769999999</v>
      </c>
      <c r="T148" s="4">
        <f t="shared" si="17"/>
        <v>0.25</v>
      </c>
      <c r="U148" s="3">
        <f t="shared" si="18"/>
        <v>0.3571739510875398</v>
      </c>
      <c r="V148" s="5">
        <f t="shared" si="19"/>
        <v>-0.71652114382582277</v>
      </c>
    </row>
    <row r="149" spans="1:22" x14ac:dyDescent="0.3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t="s">
        <v>26</v>
      </c>
      <c r="G149" t="s">
        <v>27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  <c r="P149" s="2">
        <f t="shared" si="14"/>
        <v>2.9344317527252174E-2</v>
      </c>
      <c r="Q149" s="3">
        <f t="shared" si="15"/>
        <v>1.2737037207407409</v>
      </c>
      <c r="R149" s="4">
        <f t="shared" si="20"/>
        <v>3.7037037037037035E-2</v>
      </c>
      <c r="S149" s="3">
        <f t="shared" si="16"/>
        <v>34.390000460000003</v>
      </c>
      <c r="T149" s="4">
        <f t="shared" si="17"/>
        <v>0.5</v>
      </c>
      <c r="U149" s="3">
        <f t="shared" si="18"/>
        <v>0.37375966417058837</v>
      </c>
      <c r="V149" s="5">
        <f t="shared" si="19"/>
        <v>0.45391100119804989</v>
      </c>
    </row>
    <row r="150" spans="1:22" x14ac:dyDescent="0.3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t="s">
        <v>26</v>
      </c>
      <c r="G150" t="s">
        <v>27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  <c r="P150" s="2">
        <f t="shared" si="14"/>
        <v>3.0873726458783574E-2</v>
      </c>
      <c r="Q150" s="3">
        <f t="shared" si="15"/>
        <v>1.3725000025</v>
      </c>
      <c r="R150" s="4">
        <f t="shared" si="20"/>
        <v>0.25</v>
      </c>
      <c r="S150" s="3">
        <f t="shared" si="16"/>
        <v>5.4900000100000002</v>
      </c>
      <c r="T150" s="4">
        <f t="shared" si="17"/>
        <v>1</v>
      </c>
      <c r="U150" s="3">
        <f t="shared" si="18"/>
        <v>0.42374189641864773</v>
      </c>
      <c r="V150" s="5">
        <f t="shared" si="19"/>
        <v>8.1074681072723713</v>
      </c>
    </row>
    <row r="151" spans="1:22" x14ac:dyDescent="0.3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t="s">
        <v>26</v>
      </c>
      <c r="G151" t="s">
        <v>27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  <c r="P151" s="2">
        <f t="shared" si="14"/>
        <v>0</v>
      </c>
      <c r="Q151" s="3">
        <f t="shared" si="15"/>
        <v>0</v>
      </c>
      <c r="R151" s="4">
        <f t="shared" si="20"/>
        <v>0</v>
      </c>
      <c r="S151" s="3">
        <f t="shared" si="16"/>
        <v>0</v>
      </c>
      <c r="T151" s="4">
        <f t="shared" si="17"/>
        <v>0</v>
      </c>
      <c r="U151" s="3">
        <f t="shared" si="18"/>
        <v>0</v>
      </c>
      <c r="V151" s="5">
        <f t="shared" si="19"/>
        <v>0</v>
      </c>
    </row>
    <row r="152" spans="1:22" x14ac:dyDescent="0.3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t="s">
        <v>26</v>
      </c>
      <c r="G152" t="s">
        <v>27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  <c r="P152" s="2">
        <f t="shared" si="14"/>
        <v>0.1059322033898305</v>
      </c>
      <c r="Q152" s="3">
        <f t="shared" si="15"/>
        <v>1.4199999569999999</v>
      </c>
      <c r="R152" s="4">
        <f t="shared" si="20"/>
        <v>0</v>
      </c>
      <c r="S152" s="3">
        <f t="shared" si="16"/>
        <v>0</v>
      </c>
      <c r="T152" s="4">
        <f t="shared" si="17"/>
        <v>0</v>
      </c>
      <c r="U152" s="3">
        <f t="shared" si="18"/>
        <v>1.5042372425847457</v>
      </c>
      <c r="V152" s="5">
        <f t="shared" si="19"/>
        <v>-1</v>
      </c>
    </row>
    <row r="153" spans="1:22" x14ac:dyDescent="0.3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t="s">
        <v>26</v>
      </c>
      <c r="G153" t="s">
        <v>27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  <c r="P153" s="2">
        <f t="shared" si="14"/>
        <v>3.4206499234854623E-2</v>
      </c>
      <c r="Q153" s="3">
        <f t="shared" si="15"/>
        <v>1.3676315860526316</v>
      </c>
      <c r="R153" s="4">
        <f t="shared" si="20"/>
        <v>2.6315789473684209E-2</v>
      </c>
      <c r="S153" s="3">
        <f t="shared" si="16"/>
        <v>51.97000027</v>
      </c>
      <c r="T153" s="4">
        <f t="shared" si="17"/>
        <v>0.2</v>
      </c>
      <c r="U153" s="3">
        <f t="shared" si="18"/>
        <v>0.46781888801872357</v>
      </c>
      <c r="V153" s="5">
        <f t="shared" si="19"/>
        <v>-3.7906489508663606E-2</v>
      </c>
    </row>
    <row r="154" spans="1:22" x14ac:dyDescent="0.3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t="s">
        <v>22</v>
      </c>
      <c r="G154" t="s">
        <v>23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3.1900000569999998</v>
      </c>
      <c r="N154">
        <v>1</v>
      </c>
      <c r="O154">
        <v>0</v>
      </c>
      <c r="P154" s="2">
        <f t="shared" si="14"/>
        <v>2.774694783573807E-2</v>
      </c>
      <c r="Q154" s="3">
        <f t="shared" si="15"/>
        <v>1.5950000284999999</v>
      </c>
      <c r="R154" s="4">
        <f t="shared" si="20"/>
        <v>0</v>
      </c>
      <c r="S154" s="3">
        <f t="shared" si="16"/>
        <v>0</v>
      </c>
      <c r="T154" s="4">
        <f t="shared" si="17"/>
        <v>0</v>
      </c>
      <c r="U154" s="3">
        <f t="shared" si="18"/>
        <v>0.44256382588790233</v>
      </c>
      <c r="V154" s="5">
        <f t="shared" si="19"/>
        <v>-1</v>
      </c>
    </row>
    <row r="155" spans="1:22" x14ac:dyDescent="0.3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t="s">
        <v>22</v>
      </c>
      <c r="G155" t="s">
        <v>23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  <c r="P155" s="2">
        <f t="shared" si="14"/>
        <v>0</v>
      </c>
      <c r="Q155" s="3">
        <f t="shared" si="15"/>
        <v>0</v>
      </c>
      <c r="R155" s="4">
        <f t="shared" si="20"/>
        <v>0</v>
      </c>
      <c r="S155" s="3">
        <f t="shared" si="16"/>
        <v>0</v>
      </c>
      <c r="T155" s="4">
        <f t="shared" si="17"/>
        <v>0</v>
      </c>
      <c r="U155" s="3">
        <f t="shared" si="18"/>
        <v>0</v>
      </c>
      <c r="V155" s="5">
        <f t="shared" si="19"/>
        <v>0</v>
      </c>
    </row>
    <row r="156" spans="1:22" x14ac:dyDescent="0.3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t="s">
        <v>22</v>
      </c>
      <c r="G156" t="s">
        <v>23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  <c r="P156" s="2">
        <f t="shared" si="14"/>
        <v>0</v>
      </c>
      <c r="Q156" s="3">
        <f t="shared" si="15"/>
        <v>0</v>
      </c>
      <c r="R156" s="4">
        <f t="shared" si="20"/>
        <v>0</v>
      </c>
      <c r="S156" s="3">
        <f t="shared" si="16"/>
        <v>0</v>
      </c>
      <c r="T156" s="4">
        <f t="shared" si="17"/>
        <v>1</v>
      </c>
      <c r="U156" s="3">
        <f t="shared" si="18"/>
        <v>0</v>
      </c>
      <c r="V156" s="5">
        <f t="shared" si="19"/>
        <v>0</v>
      </c>
    </row>
    <row r="157" spans="1:22" x14ac:dyDescent="0.3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t="s">
        <v>22</v>
      </c>
      <c r="G157" t="s">
        <v>23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  <c r="P157" s="2">
        <f t="shared" si="14"/>
        <v>1.6014092401313153E-2</v>
      </c>
      <c r="Q157" s="3">
        <f t="shared" si="15"/>
        <v>0.980000019</v>
      </c>
      <c r="R157" s="4">
        <f t="shared" si="20"/>
        <v>0</v>
      </c>
      <c r="S157" s="3">
        <f t="shared" si="16"/>
        <v>0</v>
      </c>
      <c r="T157" s="4">
        <f t="shared" si="17"/>
        <v>0</v>
      </c>
      <c r="U157" s="3">
        <f t="shared" si="18"/>
        <v>0.15693810857554646</v>
      </c>
      <c r="V157" s="5">
        <f t="shared" si="19"/>
        <v>-1</v>
      </c>
    </row>
    <row r="158" spans="1:22" x14ac:dyDescent="0.3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t="s">
        <v>22</v>
      </c>
      <c r="G158" t="s">
        <v>23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  <c r="P158" s="2">
        <f t="shared" si="14"/>
        <v>1.245019920318725E-2</v>
      </c>
      <c r="Q158" s="3">
        <f t="shared" si="15"/>
        <v>0.60000002399999997</v>
      </c>
      <c r="R158" s="4">
        <f t="shared" si="20"/>
        <v>0</v>
      </c>
      <c r="S158" s="3">
        <f t="shared" si="16"/>
        <v>0</v>
      </c>
      <c r="T158" s="4">
        <f t="shared" si="17"/>
        <v>0</v>
      </c>
      <c r="U158" s="3">
        <f t="shared" si="18"/>
        <v>7.4701198207171318E-2</v>
      </c>
      <c r="V158" s="5">
        <f t="shared" si="19"/>
        <v>-1</v>
      </c>
    </row>
    <row r="159" spans="1:22" x14ac:dyDescent="0.3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t="s">
        <v>22</v>
      </c>
      <c r="G159" t="s">
        <v>23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  <c r="P159" s="2">
        <f t="shared" si="14"/>
        <v>0</v>
      </c>
      <c r="Q159" s="3">
        <f t="shared" si="15"/>
        <v>0</v>
      </c>
      <c r="R159" s="4">
        <f t="shared" si="20"/>
        <v>0</v>
      </c>
      <c r="S159" s="3">
        <f t="shared" si="16"/>
        <v>0</v>
      </c>
      <c r="T159" s="4">
        <f t="shared" si="17"/>
        <v>1</v>
      </c>
      <c r="U159" s="3">
        <f t="shared" si="18"/>
        <v>0</v>
      </c>
      <c r="V159" s="5">
        <f t="shared" si="19"/>
        <v>0</v>
      </c>
    </row>
    <row r="160" spans="1:22" x14ac:dyDescent="0.3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t="s">
        <v>22</v>
      </c>
      <c r="G160" t="s">
        <v>23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  <c r="P160" s="2">
        <f t="shared" si="14"/>
        <v>0</v>
      </c>
      <c r="Q160" s="3">
        <f t="shared" si="15"/>
        <v>0</v>
      </c>
      <c r="R160" s="4">
        <f t="shared" si="20"/>
        <v>0</v>
      </c>
      <c r="S160" s="3">
        <f t="shared" si="16"/>
        <v>0</v>
      </c>
      <c r="T160" s="4">
        <f t="shared" si="17"/>
        <v>1</v>
      </c>
      <c r="U160" s="3">
        <f t="shared" si="18"/>
        <v>0</v>
      </c>
      <c r="V160" s="5">
        <f t="shared" si="19"/>
        <v>0</v>
      </c>
    </row>
    <row r="161" spans="1:22" x14ac:dyDescent="0.3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t="s">
        <v>24</v>
      </c>
      <c r="G161" t="s">
        <v>23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  <c r="P161" s="2">
        <f t="shared" si="14"/>
        <v>2.1706099413935316E-2</v>
      </c>
      <c r="Q161" s="3">
        <f t="shared" si="15"/>
        <v>1.1499999759999999</v>
      </c>
      <c r="R161" s="4">
        <f t="shared" si="20"/>
        <v>1</v>
      </c>
      <c r="S161" s="3">
        <f t="shared" si="16"/>
        <v>1.1499999759999999</v>
      </c>
      <c r="T161" s="4">
        <f t="shared" si="17"/>
        <v>1</v>
      </c>
      <c r="U161" s="3">
        <f t="shared" si="18"/>
        <v>0.24962013805079225</v>
      </c>
      <c r="V161" s="5">
        <f t="shared" si="19"/>
        <v>42.478261776937643</v>
      </c>
    </row>
    <row r="162" spans="1:22" x14ac:dyDescent="0.3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t="s">
        <v>24</v>
      </c>
      <c r="G162" t="s">
        <v>23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  <c r="P162" s="2">
        <f t="shared" si="14"/>
        <v>1.4975664545114188E-2</v>
      </c>
      <c r="Q162" s="3">
        <f t="shared" si="15"/>
        <v>1.5900000335</v>
      </c>
      <c r="R162" s="4">
        <f t="shared" si="20"/>
        <v>0.5</v>
      </c>
      <c r="S162" s="3">
        <f t="shared" si="16"/>
        <v>3.1800000669999999</v>
      </c>
      <c r="T162" s="4">
        <f t="shared" si="17"/>
        <v>1</v>
      </c>
      <c r="U162" s="3">
        <f t="shared" si="18"/>
        <v>0.23811307128416323</v>
      </c>
      <c r="V162" s="5">
        <f t="shared" si="19"/>
        <v>14.723270108975127</v>
      </c>
    </row>
    <row r="163" spans="1:22" x14ac:dyDescent="0.3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t="s">
        <v>24</v>
      </c>
      <c r="G163" t="s">
        <v>23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  <c r="P163" s="2">
        <f t="shared" si="14"/>
        <v>0</v>
      </c>
      <c r="Q163" s="3">
        <f t="shared" si="15"/>
        <v>0</v>
      </c>
      <c r="R163" s="4">
        <f t="shared" si="20"/>
        <v>0</v>
      </c>
      <c r="S163" s="3">
        <f t="shared" si="16"/>
        <v>0</v>
      </c>
      <c r="T163" s="4">
        <f t="shared" si="17"/>
        <v>0</v>
      </c>
      <c r="U163" s="3">
        <f t="shared" si="18"/>
        <v>0</v>
      </c>
      <c r="V163" s="5">
        <f t="shared" si="19"/>
        <v>0</v>
      </c>
    </row>
    <row r="164" spans="1:22" x14ac:dyDescent="0.3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t="s">
        <v>24</v>
      </c>
      <c r="G164" t="s">
        <v>23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  <c r="P164" s="2">
        <f t="shared" si="14"/>
        <v>3.5803795202291447E-2</v>
      </c>
      <c r="Q164" s="3">
        <f t="shared" si="15"/>
        <v>0.980000019</v>
      </c>
      <c r="R164" s="4">
        <f t="shared" si="20"/>
        <v>1</v>
      </c>
      <c r="S164" s="3">
        <f t="shared" si="16"/>
        <v>0.980000019</v>
      </c>
      <c r="T164" s="4">
        <f t="shared" si="17"/>
        <v>1</v>
      </c>
      <c r="U164" s="3">
        <f t="shared" si="18"/>
        <v>0.35087719978517723</v>
      </c>
      <c r="V164" s="5">
        <f t="shared" si="19"/>
        <v>50.020407174094146</v>
      </c>
    </row>
    <row r="165" spans="1:22" x14ac:dyDescent="0.3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t="s">
        <v>24</v>
      </c>
      <c r="G165" t="s">
        <v>23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  <c r="P165" s="2">
        <f t="shared" si="14"/>
        <v>0</v>
      </c>
      <c r="Q165" s="3">
        <f t="shared" si="15"/>
        <v>0</v>
      </c>
      <c r="R165" s="4">
        <f t="shared" si="20"/>
        <v>0</v>
      </c>
      <c r="S165" s="3">
        <f t="shared" si="16"/>
        <v>0</v>
      </c>
      <c r="T165" s="4">
        <f t="shared" si="17"/>
        <v>0</v>
      </c>
      <c r="U165" s="3">
        <f t="shared" si="18"/>
        <v>0</v>
      </c>
      <c r="V165" s="5">
        <f t="shared" si="19"/>
        <v>0</v>
      </c>
    </row>
    <row r="166" spans="1:22" x14ac:dyDescent="0.3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t="s">
        <v>24</v>
      </c>
      <c r="G166" t="s">
        <v>23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  <c r="P166" s="2">
        <f t="shared" si="14"/>
        <v>0</v>
      </c>
      <c r="Q166" s="3">
        <f t="shared" si="15"/>
        <v>0</v>
      </c>
      <c r="R166" s="4">
        <f t="shared" si="20"/>
        <v>0</v>
      </c>
      <c r="S166" s="3">
        <f t="shared" si="16"/>
        <v>0</v>
      </c>
      <c r="T166" s="4">
        <f t="shared" si="17"/>
        <v>1</v>
      </c>
      <c r="U166" s="3">
        <f t="shared" si="18"/>
        <v>0</v>
      </c>
      <c r="V166" s="5">
        <f t="shared" si="19"/>
        <v>0</v>
      </c>
    </row>
    <row r="167" spans="1:22" x14ac:dyDescent="0.3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t="s">
        <v>25</v>
      </c>
      <c r="G167" t="s">
        <v>23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  <c r="P167" s="2">
        <f t="shared" si="14"/>
        <v>4.9800796812749001E-2</v>
      </c>
      <c r="Q167" s="3">
        <f t="shared" si="15"/>
        <v>0.74000002450000002</v>
      </c>
      <c r="R167" s="4">
        <f t="shared" si="20"/>
        <v>0.5</v>
      </c>
      <c r="S167" s="3">
        <f t="shared" si="16"/>
        <v>1.480000049</v>
      </c>
      <c r="T167" s="4">
        <f t="shared" si="17"/>
        <v>1</v>
      </c>
      <c r="U167" s="3">
        <f t="shared" si="18"/>
        <v>0.36852590861553786</v>
      </c>
      <c r="V167" s="5">
        <f t="shared" si="19"/>
        <v>32.783782665266656</v>
      </c>
    </row>
    <row r="168" spans="1:22" x14ac:dyDescent="0.3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t="s">
        <v>25</v>
      </c>
      <c r="G168" t="s">
        <v>23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  <c r="P168" s="2">
        <f t="shared" si="14"/>
        <v>2.0211547530822611E-2</v>
      </c>
      <c r="Q168" s="3">
        <f t="shared" si="15"/>
        <v>0.97999997933333338</v>
      </c>
      <c r="R168" s="4">
        <f t="shared" si="20"/>
        <v>0.33333333333333331</v>
      </c>
      <c r="S168" s="3">
        <f t="shared" si="16"/>
        <v>2.9399999380000001</v>
      </c>
      <c r="T168" s="4">
        <f t="shared" si="17"/>
        <v>1</v>
      </c>
      <c r="U168" s="3">
        <f t="shared" si="18"/>
        <v>0.19807316162500843</v>
      </c>
      <c r="V168" s="5">
        <f t="shared" si="19"/>
        <v>16.006803079735302</v>
      </c>
    </row>
    <row r="169" spans="1:22" x14ac:dyDescent="0.3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t="s">
        <v>26</v>
      </c>
      <c r="G169" t="s">
        <v>23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  <c r="P169" s="2">
        <f t="shared" si="14"/>
        <v>3.101095720487906E-2</v>
      </c>
      <c r="Q169" s="3">
        <f t="shared" si="15"/>
        <v>1.5333333413333332</v>
      </c>
      <c r="R169" s="4">
        <f t="shared" si="20"/>
        <v>0.33333333333333331</v>
      </c>
      <c r="S169" s="3">
        <f t="shared" si="16"/>
        <v>4.6000000239999999</v>
      </c>
      <c r="T169" s="4">
        <f t="shared" si="17"/>
        <v>1</v>
      </c>
      <c r="U169" s="3">
        <f t="shared" si="18"/>
        <v>0.47550134628902213</v>
      </c>
      <c r="V169" s="5">
        <f t="shared" si="19"/>
        <v>9.8695651606805299</v>
      </c>
    </row>
    <row r="170" spans="1:22" x14ac:dyDescent="0.3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t="s">
        <v>26</v>
      </c>
      <c r="G170" t="s">
        <v>23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  <c r="P170" s="2">
        <f t="shared" si="14"/>
        <v>1.6412276382734285E-2</v>
      </c>
      <c r="Q170" s="3">
        <f t="shared" si="15"/>
        <v>1.3349999785</v>
      </c>
      <c r="R170" s="4">
        <f t="shared" si="20"/>
        <v>0</v>
      </c>
      <c r="S170" s="3">
        <f t="shared" si="16"/>
        <v>0</v>
      </c>
      <c r="T170" s="4">
        <f t="shared" si="17"/>
        <v>0</v>
      </c>
      <c r="U170" s="3">
        <f t="shared" si="18"/>
        <v>0.21910388618086329</v>
      </c>
      <c r="V170" s="5">
        <f t="shared" si="19"/>
        <v>-1</v>
      </c>
    </row>
    <row r="171" spans="1:22" x14ac:dyDescent="0.3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t="s">
        <v>26</v>
      </c>
      <c r="G171" t="s">
        <v>23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  <c r="P171" s="2">
        <f t="shared" si="14"/>
        <v>0</v>
      </c>
      <c r="Q171" s="3">
        <f t="shared" si="15"/>
        <v>0</v>
      </c>
      <c r="R171" s="4">
        <f t="shared" si="20"/>
        <v>0</v>
      </c>
      <c r="S171" s="3">
        <f t="shared" si="16"/>
        <v>0</v>
      </c>
      <c r="T171" s="4">
        <f t="shared" si="17"/>
        <v>0</v>
      </c>
      <c r="U171" s="3">
        <f t="shared" si="18"/>
        <v>0</v>
      </c>
      <c r="V171" s="5">
        <f t="shared" si="19"/>
        <v>0</v>
      </c>
    </row>
    <row r="172" spans="1:22" x14ac:dyDescent="0.3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t="s">
        <v>26</v>
      </c>
      <c r="G172" t="s">
        <v>23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  <c r="P172" s="2">
        <f t="shared" si="14"/>
        <v>0</v>
      </c>
      <c r="Q172" s="3">
        <f t="shared" si="15"/>
        <v>0</v>
      </c>
      <c r="R172" s="4">
        <f t="shared" si="20"/>
        <v>0</v>
      </c>
      <c r="S172" s="3">
        <f t="shared" si="16"/>
        <v>0</v>
      </c>
      <c r="T172" s="4">
        <f t="shared" si="17"/>
        <v>1</v>
      </c>
      <c r="U172" s="3">
        <f t="shared" si="18"/>
        <v>0</v>
      </c>
      <c r="V172" s="5">
        <f t="shared" si="19"/>
        <v>0</v>
      </c>
    </row>
    <row r="173" spans="1:22" x14ac:dyDescent="0.3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t="s">
        <v>26</v>
      </c>
      <c r="G173" t="s">
        <v>23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  <c r="P173" s="2">
        <f t="shared" si="14"/>
        <v>0</v>
      </c>
      <c r="Q173" s="3">
        <f t="shared" si="15"/>
        <v>0</v>
      </c>
      <c r="R173" s="4">
        <f t="shared" si="20"/>
        <v>0</v>
      </c>
      <c r="S173" s="3">
        <f t="shared" si="16"/>
        <v>0</v>
      </c>
      <c r="T173" s="4">
        <f t="shared" si="17"/>
        <v>1</v>
      </c>
      <c r="U173" s="3">
        <f t="shared" si="18"/>
        <v>0</v>
      </c>
      <c r="V173" s="5">
        <f t="shared" si="19"/>
        <v>0</v>
      </c>
    </row>
    <row r="174" spans="1:22" x14ac:dyDescent="0.3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t="s">
        <v>22</v>
      </c>
      <c r="G174" t="s">
        <v>27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  <c r="P174" s="2">
        <f t="shared" si="14"/>
        <v>0</v>
      </c>
      <c r="Q174" s="3">
        <f t="shared" si="15"/>
        <v>0</v>
      </c>
      <c r="R174" s="4">
        <f t="shared" si="20"/>
        <v>0</v>
      </c>
      <c r="S174" s="3">
        <f t="shared" si="16"/>
        <v>0</v>
      </c>
      <c r="T174" s="4">
        <f t="shared" si="17"/>
        <v>1</v>
      </c>
      <c r="U174" s="3">
        <f t="shared" si="18"/>
        <v>0</v>
      </c>
      <c r="V174" s="5">
        <f t="shared" si="19"/>
        <v>0</v>
      </c>
    </row>
    <row r="175" spans="1:22" x14ac:dyDescent="0.3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t="s">
        <v>22</v>
      </c>
      <c r="G175" t="s">
        <v>27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  <c r="P175" s="2">
        <f t="shared" si="14"/>
        <v>2.5483388016436785E-2</v>
      </c>
      <c r="Q175" s="3">
        <f t="shared" si="15"/>
        <v>1.3700000637500001</v>
      </c>
      <c r="R175" s="4">
        <f t="shared" si="20"/>
        <v>0.125</v>
      </c>
      <c r="S175" s="3">
        <f t="shared" si="16"/>
        <v>10.96000051</v>
      </c>
      <c r="T175" s="4">
        <f t="shared" si="17"/>
        <v>1</v>
      </c>
      <c r="U175" s="3">
        <f t="shared" si="18"/>
        <v>0.34912243207084381</v>
      </c>
      <c r="V175" s="5">
        <f t="shared" si="19"/>
        <v>3.562043583335563</v>
      </c>
    </row>
    <row r="176" spans="1:22" x14ac:dyDescent="0.3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t="s">
        <v>22</v>
      </c>
      <c r="G176" t="s">
        <v>27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  <c r="P176" s="2">
        <f t="shared" si="14"/>
        <v>2.3781212841854936E-2</v>
      </c>
      <c r="Q176" s="3">
        <f t="shared" si="15"/>
        <v>1.1799999475</v>
      </c>
      <c r="R176" s="4">
        <f t="shared" si="20"/>
        <v>0.5</v>
      </c>
      <c r="S176" s="3">
        <f t="shared" si="16"/>
        <v>2.3599998950000001</v>
      </c>
      <c r="T176" s="4">
        <f t="shared" si="17"/>
        <v>1</v>
      </c>
      <c r="U176" s="3">
        <f t="shared" si="18"/>
        <v>0.28061829904875146</v>
      </c>
      <c r="V176" s="5">
        <f t="shared" si="19"/>
        <v>20.186441620583206</v>
      </c>
    </row>
    <row r="177" spans="1:22" x14ac:dyDescent="0.3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t="s">
        <v>22</v>
      </c>
      <c r="G177" t="s">
        <v>27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  <c r="P177" s="2">
        <f t="shared" si="14"/>
        <v>1.9316952557564517E-2</v>
      </c>
      <c r="Q177" s="3">
        <f t="shared" si="15"/>
        <v>1.4700000285999999</v>
      </c>
      <c r="R177" s="4">
        <f t="shared" si="20"/>
        <v>0</v>
      </c>
      <c r="S177" s="3">
        <f t="shared" si="16"/>
        <v>0</v>
      </c>
      <c r="T177" s="4">
        <f t="shared" si="17"/>
        <v>0</v>
      </c>
      <c r="U177" s="3">
        <f t="shared" si="18"/>
        <v>0.28395920812084685</v>
      </c>
      <c r="V177" s="5">
        <f t="shared" si="19"/>
        <v>-1</v>
      </c>
    </row>
    <row r="178" spans="1:22" x14ac:dyDescent="0.3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t="s">
        <v>22</v>
      </c>
      <c r="G178" t="s">
        <v>27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  <c r="P178" s="2">
        <f t="shared" si="14"/>
        <v>0</v>
      </c>
      <c r="Q178" s="3">
        <f t="shared" si="15"/>
        <v>0</v>
      </c>
      <c r="R178" s="4">
        <f t="shared" si="20"/>
        <v>0</v>
      </c>
      <c r="S178" s="3">
        <f t="shared" si="16"/>
        <v>0</v>
      </c>
      <c r="T178" s="4">
        <f t="shared" si="17"/>
        <v>1</v>
      </c>
      <c r="U178" s="3">
        <f t="shared" si="18"/>
        <v>0</v>
      </c>
      <c r="V178" s="5">
        <f t="shared" si="19"/>
        <v>0</v>
      </c>
    </row>
    <row r="179" spans="1:22" x14ac:dyDescent="0.3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t="s">
        <v>22</v>
      </c>
      <c r="G179" t="s">
        <v>27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  <c r="P179" s="2">
        <f t="shared" si="14"/>
        <v>3.5102499297950014E-2</v>
      </c>
      <c r="Q179" s="3">
        <f t="shared" si="15"/>
        <v>0.9340000033000001</v>
      </c>
      <c r="R179" s="4">
        <f t="shared" si="20"/>
        <v>0</v>
      </c>
      <c r="S179" s="3">
        <f t="shared" si="16"/>
        <v>0</v>
      </c>
      <c r="T179" s="4">
        <f t="shared" si="17"/>
        <v>0</v>
      </c>
      <c r="U179" s="3">
        <f t="shared" si="18"/>
        <v>0.32785734460123567</v>
      </c>
      <c r="V179" s="5">
        <f t="shared" si="19"/>
        <v>-1</v>
      </c>
    </row>
    <row r="180" spans="1:22" x14ac:dyDescent="0.3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t="s">
        <v>22</v>
      </c>
      <c r="G180" t="s">
        <v>27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  <c r="P180" s="2">
        <f t="shared" si="14"/>
        <v>2.962670353545329E-2</v>
      </c>
      <c r="Q180" s="3">
        <f t="shared" si="15"/>
        <v>1.5399999620000002</v>
      </c>
      <c r="R180" s="4">
        <f t="shared" si="20"/>
        <v>0</v>
      </c>
      <c r="S180" s="3">
        <f t="shared" si="16"/>
        <v>0</v>
      </c>
      <c r="T180" s="4">
        <f t="shared" si="17"/>
        <v>0</v>
      </c>
      <c r="U180" s="3">
        <f t="shared" si="18"/>
        <v>0.45625122318783334</v>
      </c>
      <c r="V180" s="5">
        <f t="shared" si="19"/>
        <v>-1</v>
      </c>
    </row>
    <row r="181" spans="1:22" x14ac:dyDescent="0.3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t="s">
        <v>22</v>
      </c>
      <c r="G181" t="s">
        <v>27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  <c r="P181" s="2">
        <f t="shared" si="14"/>
        <v>2.2151337940811627E-2</v>
      </c>
      <c r="Q181" s="3">
        <f t="shared" si="15"/>
        <v>1.7</v>
      </c>
      <c r="R181" s="4">
        <f t="shared" si="20"/>
        <v>0</v>
      </c>
      <c r="S181" s="3">
        <f t="shared" si="16"/>
        <v>0</v>
      </c>
      <c r="T181" s="4">
        <f t="shared" si="17"/>
        <v>0</v>
      </c>
      <c r="U181" s="3">
        <f t="shared" si="18"/>
        <v>0.37657274499379767</v>
      </c>
      <c r="V181" s="5">
        <f t="shared" si="19"/>
        <v>-1</v>
      </c>
    </row>
    <row r="182" spans="1:22" x14ac:dyDescent="0.3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t="s">
        <v>22</v>
      </c>
      <c r="G182" t="s">
        <v>27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  <c r="P182" s="2">
        <f t="shared" si="14"/>
        <v>0</v>
      </c>
      <c r="Q182" s="3">
        <f t="shared" si="15"/>
        <v>0</v>
      </c>
      <c r="R182" s="4">
        <f t="shared" si="20"/>
        <v>0</v>
      </c>
      <c r="S182" s="3">
        <f t="shared" si="16"/>
        <v>0</v>
      </c>
      <c r="T182" s="4">
        <f t="shared" si="17"/>
        <v>1</v>
      </c>
      <c r="U182" s="3">
        <f t="shared" si="18"/>
        <v>0</v>
      </c>
      <c r="V182" s="5">
        <f t="shared" si="19"/>
        <v>0</v>
      </c>
    </row>
    <row r="183" spans="1:22" x14ac:dyDescent="0.3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t="s">
        <v>22</v>
      </c>
      <c r="G183" t="s">
        <v>27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  <c r="P183" s="2">
        <f t="shared" si="14"/>
        <v>0</v>
      </c>
      <c r="Q183" s="3">
        <f t="shared" si="15"/>
        <v>0</v>
      </c>
      <c r="R183" s="4">
        <f t="shared" si="20"/>
        <v>0</v>
      </c>
      <c r="S183" s="3">
        <f t="shared" si="16"/>
        <v>0</v>
      </c>
      <c r="T183" s="4">
        <f t="shared" si="17"/>
        <v>0</v>
      </c>
      <c r="U183" s="3">
        <f t="shared" si="18"/>
        <v>0</v>
      </c>
      <c r="V183" s="5">
        <f t="shared" si="19"/>
        <v>0</v>
      </c>
    </row>
    <row r="184" spans="1:22" x14ac:dyDescent="0.3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t="s">
        <v>22</v>
      </c>
      <c r="G184" t="s">
        <v>27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  <c r="P184" s="2">
        <f t="shared" si="14"/>
        <v>0</v>
      </c>
      <c r="Q184" s="3">
        <f t="shared" si="15"/>
        <v>0</v>
      </c>
      <c r="R184" s="4">
        <f t="shared" si="20"/>
        <v>0</v>
      </c>
      <c r="S184" s="3">
        <f t="shared" si="16"/>
        <v>0</v>
      </c>
      <c r="T184" s="4">
        <f t="shared" si="17"/>
        <v>1</v>
      </c>
      <c r="U184" s="3">
        <f t="shared" si="18"/>
        <v>0</v>
      </c>
      <c r="V184" s="5">
        <f t="shared" si="19"/>
        <v>0</v>
      </c>
    </row>
    <row r="185" spans="1:22" x14ac:dyDescent="0.3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t="s">
        <v>22</v>
      </c>
      <c r="G185" t="s">
        <v>27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  <c r="P185" s="2">
        <f t="shared" si="14"/>
        <v>0</v>
      </c>
      <c r="Q185" s="3">
        <f t="shared" si="15"/>
        <v>0</v>
      </c>
      <c r="R185" s="4">
        <f t="shared" si="20"/>
        <v>0</v>
      </c>
      <c r="S185" s="3">
        <f t="shared" si="16"/>
        <v>0</v>
      </c>
      <c r="T185" s="4">
        <f t="shared" si="17"/>
        <v>1</v>
      </c>
      <c r="U185" s="3">
        <f t="shared" si="18"/>
        <v>0</v>
      </c>
      <c r="V185" s="5">
        <f t="shared" si="19"/>
        <v>0</v>
      </c>
    </row>
    <row r="186" spans="1:22" x14ac:dyDescent="0.3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t="s">
        <v>24</v>
      </c>
      <c r="G186" t="s">
        <v>27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  <c r="P186" s="2">
        <f t="shared" si="14"/>
        <v>0</v>
      </c>
      <c r="Q186" s="3">
        <f t="shared" si="15"/>
        <v>0</v>
      </c>
      <c r="R186" s="4">
        <f t="shared" si="20"/>
        <v>0</v>
      </c>
      <c r="S186" s="3">
        <f t="shared" si="16"/>
        <v>0</v>
      </c>
      <c r="T186" s="4">
        <f t="shared" si="17"/>
        <v>0</v>
      </c>
      <c r="U186" s="3">
        <f t="shared" si="18"/>
        <v>0</v>
      </c>
      <c r="V186" s="5">
        <f t="shared" si="19"/>
        <v>0</v>
      </c>
    </row>
    <row r="187" spans="1:22" x14ac:dyDescent="0.3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t="s">
        <v>24</v>
      </c>
      <c r="G187" t="s">
        <v>27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  <c r="P187" s="2">
        <f t="shared" si="14"/>
        <v>4.1084634346754315E-2</v>
      </c>
      <c r="Q187" s="3">
        <f t="shared" si="15"/>
        <v>1.210000038</v>
      </c>
      <c r="R187" s="4">
        <f t="shared" si="20"/>
        <v>0</v>
      </c>
      <c r="S187" s="3">
        <f t="shared" si="16"/>
        <v>0</v>
      </c>
      <c r="T187" s="4">
        <f t="shared" si="17"/>
        <v>0</v>
      </c>
      <c r="U187" s="3">
        <f t="shared" si="18"/>
        <v>0.49712409120788831</v>
      </c>
      <c r="V187" s="5">
        <f t="shared" si="19"/>
        <v>-1</v>
      </c>
    </row>
    <row r="188" spans="1:22" x14ac:dyDescent="0.3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t="s">
        <v>24</v>
      </c>
      <c r="G188" t="s">
        <v>27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  <c r="P188" s="2">
        <f t="shared" si="14"/>
        <v>3.0372057706909643E-2</v>
      </c>
      <c r="Q188" s="3">
        <f t="shared" si="15"/>
        <v>1.4750000240000001</v>
      </c>
      <c r="R188" s="4">
        <f t="shared" si="20"/>
        <v>0</v>
      </c>
      <c r="S188" s="3">
        <f t="shared" si="16"/>
        <v>0</v>
      </c>
      <c r="T188" s="4">
        <f t="shared" si="17"/>
        <v>0</v>
      </c>
      <c r="U188" s="3">
        <f t="shared" si="18"/>
        <v>0.44798785846621109</v>
      </c>
      <c r="V188" s="5">
        <f t="shared" si="19"/>
        <v>-1</v>
      </c>
    </row>
    <row r="189" spans="1:22" x14ac:dyDescent="0.3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t="s">
        <v>24</v>
      </c>
      <c r="G189" t="s">
        <v>27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  <c r="P189" s="2">
        <f t="shared" si="14"/>
        <v>1.967729240456513E-2</v>
      </c>
      <c r="Q189" s="3">
        <f t="shared" si="15"/>
        <v>1.8600000145</v>
      </c>
      <c r="R189" s="4">
        <f t="shared" si="20"/>
        <v>0.5</v>
      </c>
      <c r="S189" s="3">
        <f t="shared" si="16"/>
        <v>3.7200000289999999</v>
      </c>
      <c r="T189" s="4">
        <f t="shared" si="17"/>
        <v>1</v>
      </c>
      <c r="U189" s="3">
        <f t="shared" si="18"/>
        <v>0.36599764157811882</v>
      </c>
      <c r="V189" s="5">
        <f t="shared" si="19"/>
        <v>12.440860110272865</v>
      </c>
    </row>
    <row r="190" spans="1:22" x14ac:dyDescent="0.3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t="s">
        <v>24</v>
      </c>
      <c r="G190" t="s">
        <v>27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  <c r="P190" s="2">
        <f t="shared" si="14"/>
        <v>3.5771776068681808E-2</v>
      </c>
      <c r="Q190" s="3">
        <f t="shared" si="15"/>
        <v>1.1124999522500001</v>
      </c>
      <c r="R190" s="4">
        <f t="shared" si="20"/>
        <v>0</v>
      </c>
      <c r="S190" s="3">
        <f t="shared" si="16"/>
        <v>0</v>
      </c>
      <c r="T190" s="4">
        <f t="shared" si="17"/>
        <v>0</v>
      </c>
      <c r="U190" s="3">
        <f t="shared" si="18"/>
        <v>0.39796099168306209</v>
      </c>
      <c r="V190" s="5">
        <f t="shared" si="19"/>
        <v>-1</v>
      </c>
    </row>
    <row r="191" spans="1:22" x14ac:dyDescent="0.3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t="s">
        <v>24</v>
      </c>
      <c r="G191" t="s">
        <v>27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  <c r="P191" s="2">
        <f t="shared" si="14"/>
        <v>0</v>
      </c>
      <c r="Q191" s="3">
        <f t="shared" si="15"/>
        <v>0</v>
      </c>
      <c r="R191" s="4">
        <f t="shared" si="20"/>
        <v>0</v>
      </c>
      <c r="S191" s="3">
        <f t="shared" si="16"/>
        <v>0</v>
      </c>
      <c r="T191" s="4">
        <f t="shared" si="17"/>
        <v>0</v>
      </c>
      <c r="U191" s="3">
        <f t="shared" si="18"/>
        <v>0</v>
      </c>
      <c r="V191" s="5">
        <f t="shared" si="19"/>
        <v>0</v>
      </c>
    </row>
    <row r="192" spans="1:22" x14ac:dyDescent="0.3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t="s">
        <v>25</v>
      </c>
      <c r="G192" t="s">
        <v>27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  <c r="P192" s="2">
        <f t="shared" si="14"/>
        <v>2.3441849561930433E-2</v>
      </c>
      <c r="Q192" s="3">
        <f t="shared" si="15"/>
        <v>1.63375002125</v>
      </c>
      <c r="R192" s="4">
        <f t="shared" si="20"/>
        <v>0</v>
      </c>
      <c r="S192" s="3">
        <f t="shared" si="16"/>
        <v>0</v>
      </c>
      <c r="T192" s="4">
        <f t="shared" si="17"/>
        <v>0</v>
      </c>
      <c r="U192" s="3">
        <f t="shared" si="18"/>
        <v>0.38298122219943154</v>
      </c>
      <c r="V192" s="5">
        <f t="shared" si="19"/>
        <v>-1</v>
      </c>
    </row>
    <row r="193" spans="1:22" x14ac:dyDescent="0.3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t="s">
        <v>25</v>
      </c>
      <c r="G193" t="s">
        <v>27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  <c r="P193" s="2">
        <f t="shared" si="14"/>
        <v>2.3756193579040252E-2</v>
      </c>
      <c r="Q193" s="3">
        <f t="shared" si="15"/>
        <v>1.5499999528571429</v>
      </c>
      <c r="R193" s="4">
        <f t="shared" si="20"/>
        <v>0</v>
      </c>
      <c r="S193" s="3">
        <f t="shared" si="16"/>
        <v>0</v>
      </c>
      <c r="T193" s="4">
        <f t="shared" si="17"/>
        <v>0</v>
      </c>
      <c r="U193" s="3">
        <f t="shared" si="18"/>
        <v>0.36822098927577551</v>
      </c>
      <c r="V193" s="5">
        <f t="shared" si="19"/>
        <v>-1</v>
      </c>
    </row>
    <row r="194" spans="1:22" x14ac:dyDescent="0.3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t="s">
        <v>25</v>
      </c>
      <c r="G194" t="s">
        <v>27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  <c r="P194" s="2">
        <f t="shared" ref="P194:P257" si="21">IF(K194&gt;0, (L194/K194)*100, 0)</f>
        <v>2.3220413323357156E-2</v>
      </c>
      <c r="Q194" s="3">
        <f t="shared" ref="Q194:Q257" si="22">IF(L194&gt;0, M194/L194, 0)</f>
        <v>1.2055555188888889</v>
      </c>
      <c r="R194" s="4">
        <f t="shared" si="20"/>
        <v>0</v>
      </c>
      <c r="S194" s="3">
        <f t="shared" ref="S194:S257" si="23">IF(O194&gt;0, M194/O194, 0)</f>
        <v>0</v>
      </c>
      <c r="T194" s="4">
        <f t="shared" ref="T194:T257" si="24">IF(N194&gt;0, O194/N194, 0)</f>
        <v>0</v>
      </c>
      <c r="U194" s="3">
        <f t="shared" ref="U194:U257" si="25">IF(K194&gt;0, (M194/K194)*1000, 0)</f>
        <v>0.27993497432854303</v>
      </c>
      <c r="V194" s="5">
        <f t="shared" ref="V194:V257" si="26">IF(M194&gt;0, ((O194*50)-M194)/M194, 0)</f>
        <v>-1</v>
      </c>
    </row>
    <row r="195" spans="1:22" x14ac:dyDescent="0.3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t="s">
        <v>25</v>
      </c>
      <c r="G195" t="s">
        <v>27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  <c r="P195" s="2">
        <f t="shared" si="21"/>
        <v>2.3969319271332692E-2</v>
      </c>
      <c r="Q195" s="3">
        <f t="shared" si="22"/>
        <v>1.206000006</v>
      </c>
      <c r="R195" s="4">
        <f t="shared" ref="R195:R258" si="27">IF(L195&gt;0, O195/L195, 0)</f>
        <v>0.1</v>
      </c>
      <c r="S195" s="3">
        <f t="shared" si="23"/>
        <v>12.06000006</v>
      </c>
      <c r="T195" s="4">
        <f t="shared" si="24"/>
        <v>1</v>
      </c>
      <c r="U195" s="3">
        <f t="shared" si="25"/>
        <v>0.28906999185043147</v>
      </c>
      <c r="V195" s="5">
        <f t="shared" si="26"/>
        <v>3.145936961131325</v>
      </c>
    </row>
    <row r="196" spans="1:22" x14ac:dyDescent="0.3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t="s">
        <v>26</v>
      </c>
      <c r="G196" t="s">
        <v>27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  <c r="P196" s="2">
        <f t="shared" si="21"/>
        <v>2.6878830233308247E-2</v>
      </c>
      <c r="Q196" s="3">
        <f t="shared" si="22"/>
        <v>1.7720000268</v>
      </c>
      <c r="R196" s="4">
        <f t="shared" si="27"/>
        <v>0</v>
      </c>
      <c r="S196" s="3">
        <f t="shared" si="23"/>
        <v>0</v>
      </c>
      <c r="T196" s="4">
        <f t="shared" si="24"/>
        <v>0</v>
      </c>
      <c r="U196" s="3">
        <f t="shared" si="25"/>
        <v>0.47629287893774863</v>
      </c>
      <c r="V196" s="5">
        <f t="shared" si="26"/>
        <v>-1</v>
      </c>
    </row>
    <row r="197" spans="1:22" x14ac:dyDescent="0.3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t="s">
        <v>26</v>
      </c>
      <c r="G197" t="s">
        <v>27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  <c r="P197" s="2">
        <f t="shared" si="21"/>
        <v>2.5021148828176194E-2</v>
      </c>
      <c r="Q197" s="3">
        <f t="shared" si="22"/>
        <v>1.3204761685714286</v>
      </c>
      <c r="R197" s="4">
        <f t="shared" si="27"/>
        <v>4.7619047619047616E-2</v>
      </c>
      <c r="S197" s="3">
        <f t="shared" si="23"/>
        <v>27.729999540000001</v>
      </c>
      <c r="T197" s="4">
        <f t="shared" si="24"/>
        <v>0.25</v>
      </c>
      <c r="U197" s="3">
        <f t="shared" si="25"/>
        <v>0.33039830737885595</v>
      </c>
      <c r="V197" s="5">
        <f t="shared" si="26"/>
        <v>0.80310136420579248</v>
      </c>
    </row>
    <row r="198" spans="1:22" x14ac:dyDescent="0.3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t="s">
        <v>26</v>
      </c>
      <c r="G198" t="s">
        <v>27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  <c r="P198" s="2">
        <f t="shared" si="21"/>
        <v>2.3815194093831864E-2</v>
      </c>
      <c r="Q198" s="3">
        <f t="shared" si="22"/>
        <v>1.2249999841666666</v>
      </c>
      <c r="R198" s="4">
        <f t="shared" si="27"/>
        <v>0</v>
      </c>
      <c r="S198" s="3">
        <f t="shared" si="23"/>
        <v>0</v>
      </c>
      <c r="T198" s="4">
        <f t="shared" si="24"/>
        <v>0</v>
      </c>
      <c r="U198" s="3">
        <f t="shared" si="25"/>
        <v>0.29173612387870124</v>
      </c>
      <c r="V198" s="5">
        <f t="shared" si="26"/>
        <v>-1</v>
      </c>
    </row>
    <row r="199" spans="1:22" x14ac:dyDescent="0.3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t="s">
        <v>26</v>
      </c>
      <c r="G199" t="s">
        <v>27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  <c r="P199" s="2">
        <f t="shared" si="21"/>
        <v>2.4164727129357601E-2</v>
      </c>
      <c r="Q199" s="3">
        <f t="shared" si="22"/>
        <v>1.3963158131578948</v>
      </c>
      <c r="R199" s="4">
        <f t="shared" si="27"/>
        <v>0</v>
      </c>
      <c r="S199" s="3">
        <f t="shared" si="23"/>
        <v>0</v>
      </c>
      <c r="T199" s="4">
        <f t="shared" si="24"/>
        <v>0</v>
      </c>
      <c r="U199" s="3">
        <f t="shared" si="25"/>
        <v>0.33741590611367595</v>
      </c>
      <c r="V199" s="5">
        <f t="shared" si="26"/>
        <v>-1</v>
      </c>
    </row>
    <row r="200" spans="1:22" x14ac:dyDescent="0.3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t="s">
        <v>26</v>
      </c>
      <c r="G200" t="s">
        <v>27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  <c r="P200" s="2">
        <f t="shared" si="21"/>
        <v>2.4343931057987246E-2</v>
      </c>
      <c r="Q200" s="3">
        <f t="shared" si="22"/>
        <v>1.5771999932</v>
      </c>
      <c r="R200" s="4">
        <f t="shared" si="27"/>
        <v>0</v>
      </c>
      <c r="S200" s="3">
        <f t="shared" si="23"/>
        <v>0</v>
      </c>
      <c r="T200" s="4">
        <f t="shared" si="24"/>
        <v>0</v>
      </c>
      <c r="U200" s="3">
        <f t="shared" si="25"/>
        <v>0.38395247899118751</v>
      </c>
      <c r="V200" s="5">
        <f t="shared" si="26"/>
        <v>-1</v>
      </c>
    </row>
    <row r="201" spans="1:22" x14ac:dyDescent="0.3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t="s">
        <v>26</v>
      </c>
      <c r="G201" t="s">
        <v>27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  <c r="P201" s="2">
        <f t="shared" si="21"/>
        <v>2.8976058531638236E-2</v>
      </c>
      <c r="Q201" s="3">
        <f t="shared" si="22"/>
        <v>1.9970833462499999</v>
      </c>
      <c r="R201" s="4">
        <f t="shared" si="27"/>
        <v>0</v>
      </c>
      <c r="S201" s="3">
        <f t="shared" si="23"/>
        <v>0</v>
      </c>
      <c r="T201" s="4">
        <f t="shared" si="24"/>
        <v>0</v>
      </c>
      <c r="U201" s="3">
        <f t="shared" si="25"/>
        <v>0.57867603933499945</v>
      </c>
      <c r="V201" s="5">
        <f t="shared" si="26"/>
        <v>-1</v>
      </c>
    </row>
    <row r="202" spans="1:22" x14ac:dyDescent="0.3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t="s">
        <v>26</v>
      </c>
      <c r="G202" t="s">
        <v>27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6.0399999619999996</v>
      </c>
      <c r="N202">
        <v>1</v>
      </c>
      <c r="O202">
        <v>0</v>
      </c>
      <c r="P202" s="2">
        <f t="shared" si="21"/>
        <v>3.2467532467532464E-2</v>
      </c>
      <c r="Q202" s="3">
        <f t="shared" si="22"/>
        <v>2.0133333206666664</v>
      </c>
      <c r="R202" s="4">
        <f t="shared" si="27"/>
        <v>0</v>
      </c>
      <c r="S202" s="3">
        <f t="shared" si="23"/>
        <v>0</v>
      </c>
      <c r="T202" s="4">
        <f t="shared" si="24"/>
        <v>0</v>
      </c>
      <c r="U202" s="3">
        <f t="shared" si="25"/>
        <v>0.65367964956709956</v>
      </c>
      <c r="V202" s="5">
        <f t="shared" si="26"/>
        <v>-1</v>
      </c>
    </row>
    <row r="203" spans="1:22" x14ac:dyDescent="0.3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t="s">
        <v>26</v>
      </c>
      <c r="G203" t="s">
        <v>27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  <c r="P203" s="2">
        <f t="shared" si="21"/>
        <v>2.5953802232026989E-2</v>
      </c>
      <c r="Q203" s="3">
        <f t="shared" si="22"/>
        <v>1.184999943</v>
      </c>
      <c r="R203" s="4">
        <f t="shared" si="27"/>
        <v>0</v>
      </c>
      <c r="S203" s="3">
        <f t="shared" si="23"/>
        <v>0</v>
      </c>
      <c r="T203" s="4">
        <f t="shared" si="24"/>
        <v>0</v>
      </c>
      <c r="U203" s="3">
        <f t="shared" si="25"/>
        <v>0.30755254165585261</v>
      </c>
      <c r="V203" s="5">
        <f t="shared" si="26"/>
        <v>-1</v>
      </c>
    </row>
    <row r="204" spans="1:22" x14ac:dyDescent="0.3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t="s">
        <v>26</v>
      </c>
      <c r="G204" t="s">
        <v>27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  <c r="P204" s="2">
        <f t="shared" si="21"/>
        <v>5.1144354941823303E-2</v>
      </c>
      <c r="Q204" s="3">
        <f t="shared" si="22"/>
        <v>1.58500003825</v>
      </c>
      <c r="R204" s="4">
        <f t="shared" si="27"/>
        <v>0.25</v>
      </c>
      <c r="S204" s="3">
        <f t="shared" si="23"/>
        <v>6.3400001530000001</v>
      </c>
      <c r="T204" s="4">
        <f t="shared" si="24"/>
        <v>1</v>
      </c>
      <c r="U204" s="3">
        <f t="shared" si="25"/>
        <v>0.81063804539061501</v>
      </c>
      <c r="V204" s="5">
        <f t="shared" si="26"/>
        <v>6.8864351409109501</v>
      </c>
    </row>
    <row r="205" spans="1:22" x14ac:dyDescent="0.3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t="s">
        <v>26</v>
      </c>
      <c r="G205" t="s">
        <v>27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  <c r="P205" s="2">
        <f t="shared" si="21"/>
        <v>0</v>
      </c>
      <c r="Q205" s="3">
        <f t="shared" si="22"/>
        <v>0</v>
      </c>
      <c r="R205" s="4">
        <f t="shared" si="27"/>
        <v>0</v>
      </c>
      <c r="S205" s="3">
        <f t="shared" si="23"/>
        <v>0</v>
      </c>
      <c r="T205" s="4">
        <f t="shared" si="24"/>
        <v>1</v>
      </c>
      <c r="U205" s="3">
        <f t="shared" si="25"/>
        <v>0</v>
      </c>
      <c r="V205" s="5">
        <f t="shared" si="26"/>
        <v>0</v>
      </c>
    </row>
    <row r="206" spans="1:22" x14ac:dyDescent="0.3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t="s">
        <v>26</v>
      </c>
      <c r="G206" t="s">
        <v>27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  <c r="P206" s="2">
        <f t="shared" si="21"/>
        <v>0</v>
      </c>
      <c r="Q206" s="3">
        <f t="shared" si="22"/>
        <v>0</v>
      </c>
      <c r="R206" s="4">
        <f t="shared" si="27"/>
        <v>0</v>
      </c>
      <c r="S206" s="3">
        <f t="shared" si="23"/>
        <v>0</v>
      </c>
      <c r="T206" s="4">
        <f t="shared" si="24"/>
        <v>1</v>
      </c>
      <c r="U206" s="3">
        <f t="shared" si="25"/>
        <v>0</v>
      </c>
      <c r="V206" s="5">
        <f t="shared" si="26"/>
        <v>0</v>
      </c>
    </row>
    <row r="207" spans="1:22" x14ac:dyDescent="0.3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t="s">
        <v>26</v>
      </c>
      <c r="G207" t="s">
        <v>27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  <c r="P207" s="2">
        <f t="shared" si="21"/>
        <v>2.855631052468021E-2</v>
      </c>
      <c r="Q207" s="3">
        <f t="shared" si="22"/>
        <v>1.5652941026470588</v>
      </c>
      <c r="R207" s="4">
        <f t="shared" si="27"/>
        <v>0</v>
      </c>
      <c r="S207" s="3">
        <f t="shared" si="23"/>
        <v>0</v>
      </c>
      <c r="T207" s="4">
        <f t="shared" si="24"/>
        <v>0</v>
      </c>
      <c r="U207" s="3">
        <f t="shared" si="25"/>
        <v>0.44699024457640074</v>
      </c>
      <c r="V207" s="5">
        <f t="shared" si="26"/>
        <v>-1</v>
      </c>
    </row>
    <row r="208" spans="1:22" x14ac:dyDescent="0.3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t="s">
        <v>26</v>
      </c>
      <c r="G208" t="s">
        <v>27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  <c r="P208" s="2">
        <f t="shared" si="21"/>
        <v>2.3214033387835845E-2</v>
      </c>
      <c r="Q208" s="3">
        <f t="shared" si="22"/>
        <v>1.5565217165217391</v>
      </c>
      <c r="R208" s="4">
        <f t="shared" si="27"/>
        <v>0</v>
      </c>
      <c r="S208" s="3">
        <f t="shared" si="23"/>
        <v>0</v>
      </c>
      <c r="T208" s="4">
        <f t="shared" si="24"/>
        <v>0</v>
      </c>
      <c r="U208" s="3">
        <f t="shared" si="25"/>
        <v>0.36133147096227214</v>
      </c>
      <c r="V208" s="5">
        <f t="shared" si="26"/>
        <v>-1</v>
      </c>
    </row>
    <row r="209" spans="1:22" x14ac:dyDescent="0.3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t="s">
        <v>26</v>
      </c>
      <c r="G209" t="s">
        <v>27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  <c r="P209" s="2">
        <f t="shared" si="21"/>
        <v>2.5199050393679902E-2</v>
      </c>
      <c r="Q209" s="3">
        <f t="shared" si="22"/>
        <v>1.5808772035087721</v>
      </c>
      <c r="R209" s="4">
        <f t="shared" si="27"/>
        <v>0</v>
      </c>
      <c r="S209" s="3">
        <f t="shared" si="23"/>
        <v>0</v>
      </c>
      <c r="T209" s="4">
        <f t="shared" si="24"/>
        <v>0</v>
      </c>
      <c r="U209" s="3">
        <f t="shared" si="25"/>
        <v>0.39836604317437302</v>
      </c>
      <c r="V209" s="5">
        <f t="shared" si="26"/>
        <v>-1</v>
      </c>
    </row>
    <row r="210" spans="1:22" x14ac:dyDescent="0.3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t="s">
        <v>26</v>
      </c>
      <c r="G210" t="s">
        <v>27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  <c r="P210" s="2">
        <f t="shared" si="21"/>
        <v>2.5101582968575953E-2</v>
      </c>
      <c r="Q210" s="3">
        <f t="shared" si="22"/>
        <v>1.5918750116666667</v>
      </c>
      <c r="R210" s="4">
        <f t="shared" si="27"/>
        <v>0</v>
      </c>
      <c r="S210" s="3">
        <f t="shared" si="23"/>
        <v>0</v>
      </c>
      <c r="T210" s="4">
        <f t="shared" si="24"/>
        <v>0</v>
      </c>
      <c r="U210" s="3">
        <f t="shared" si="25"/>
        <v>0.39958582680953653</v>
      </c>
      <c r="V210" s="5">
        <f t="shared" si="26"/>
        <v>-1</v>
      </c>
    </row>
    <row r="211" spans="1:22" x14ac:dyDescent="0.3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t="s">
        <v>26</v>
      </c>
      <c r="G211" t="s">
        <v>27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  <c r="P211" s="2">
        <f t="shared" si="21"/>
        <v>2.7007562117392869E-2</v>
      </c>
      <c r="Q211" s="3">
        <f t="shared" si="22"/>
        <v>1.5916666586666668</v>
      </c>
      <c r="R211" s="4">
        <f t="shared" si="27"/>
        <v>0</v>
      </c>
      <c r="S211" s="3">
        <f t="shared" si="23"/>
        <v>0</v>
      </c>
      <c r="T211" s="4">
        <f t="shared" si="24"/>
        <v>0</v>
      </c>
      <c r="U211" s="3">
        <f t="shared" si="25"/>
        <v>0.42987036154123159</v>
      </c>
      <c r="V211" s="5">
        <f t="shared" si="26"/>
        <v>-1</v>
      </c>
    </row>
    <row r="212" spans="1:22" x14ac:dyDescent="0.3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t="s">
        <v>26</v>
      </c>
      <c r="G212" t="s">
        <v>27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  <c r="P212" s="2">
        <f t="shared" si="21"/>
        <v>2.2778571576484233E-2</v>
      </c>
      <c r="Q212" s="3">
        <f t="shared" si="22"/>
        <v>1.6381818163636366</v>
      </c>
      <c r="R212" s="4">
        <f t="shared" si="27"/>
        <v>0</v>
      </c>
      <c r="S212" s="3">
        <f t="shared" si="23"/>
        <v>0</v>
      </c>
      <c r="T212" s="4">
        <f t="shared" si="24"/>
        <v>0</v>
      </c>
      <c r="U212" s="3">
        <f t="shared" si="25"/>
        <v>0.37315441759334039</v>
      </c>
      <c r="V212" s="5">
        <f t="shared" si="26"/>
        <v>-1</v>
      </c>
    </row>
    <row r="213" spans="1:22" x14ac:dyDescent="0.3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t="s">
        <v>25</v>
      </c>
      <c r="G213" t="s">
        <v>27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  <c r="P213" s="2">
        <f t="shared" si="21"/>
        <v>2.90286294858304E-2</v>
      </c>
      <c r="Q213" s="3">
        <f t="shared" si="22"/>
        <v>1.6712499999999999</v>
      </c>
      <c r="R213" s="4">
        <f t="shared" si="27"/>
        <v>0</v>
      </c>
      <c r="S213" s="3">
        <f t="shared" si="23"/>
        <v>0</v>
      </c>
      <c r="T213" s="4">
        <f t="shared" si="24"/>
        <v>0</v>
      </c>
      <c r="U213" s="3">
        <f t="shared" si="25"/>
        <v>0.48514097028194053</v>
      </c>
      <c r="V213" s="5">
        <f t="shared" si="26"/>
        <v>-1</v>
      </c>
    </row>
    <row r="214" spans="1:22" x14ac:dyDescent="0.3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t="s">
        <v>26</v>
      </c>
      <c r="G214" t="s">
        <v>27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  <c r="P214" s="2">
        <f t="shared" si="21"/>
        <v>3.9238767902687856E-2</v>
      </c>
      <c r="Q214" s="3">
        <f t="shared" si="22"/>
        <v>1.14750000825</v>
      </c>
      <c r="R214" s="4">
        <f t="shared" si="27"/>
        <v>0.25</v>
      </c>
      <c r="S214" s="3">
        <f t="shared" si="23"/>
        <v>4.5900000329999999</v>
      </c>
      <c r="T214" s="4">
        <f t="shared" si="24"/>
        <v>0.5</v>
      </c>
      <c r="U214" s="3">
        <f t="shared" si="25"/>
        <v>0.45026486492054146</v>
      </c>
      <c r="V214" s="5">
        <f t="shared" si="26"/>
        <v>9.8932461090463786</v>
      </c>
    </row>
    <row r="215" spans="1:22" x14ac:dyDescent="0.3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t="s">
        <v>26</v>
      </c>
      <c r="G215" t="s">
        <v>27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  <c r="P215" s="2">
        <f t="shared" si="21"/>
        <v>0</v>
      </c>
      <c r="Q215" s="3">
        <f t="shared" si="22"/>
        <v>0</v>
      </c>
      <c r="R215" s="4">
        <f t="shared" si="27"/>
        <v>0</v>
      </c>
      <c r="S215" s="3">
        <f t="shared" si="23"/>
        <v>0</v>
      </c>
      <c r="T215" s="4">
        <f t="shared" si="24"/>
        <v>1</v>
      </c>
      <c r="U215" s="3">
        <f t="shared" si="25"/>
        <v>0</v>
      </c>
      <c r="V215" s="5">
        <f t="shared" si="26"/>
        <v>0</v>
      </c>
    </row>
    <row r="216" spans="1:22" x14ac:dyDescent="0.3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t="s">
        <v>26</v>
      </c>
      <c r="G216" t="s">
        <v>27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  <c r="P216" s="2">
        <f t="shared" si="21"/>
        <v>3.9874395653690872E-2</v>
      </c>
      <c r="Q216" s="3">
        <f t="shared" si="22"/>
        <v>1.616250000625</v>
      </c>
      <c r="R216" s="4">
        <f t="shared" si="27"/>
        <v>0</v>
      </c>
      <c r="S216" s="3">
        <f t="shared" si="23"/>
        <v>0</v>
      </c>
      <c r="T216" s="4">
        <f t="shared" si="24"/>
        <v>0</v>
      </c>
      <c r="U216" s="3">
        <f t="shared" si="25"/>
        <v>0.64446992000199366</v>
      </c>
      <c r="V216" s="5">
        <f t="shared" si="26"/>
        <v>-1</v>
      </c>
    </row>
    <row r="217" spans="1:22" x14ac:dyDescent="0.3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t="s">
        <v>26</v>
      </c>
      <c r="G217" t="s">
        <v>27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  <c r="P217" s="2">
        <f t="shared" si="21"/>
        <v>2.7329871549603715E-2</v>
      </c>
      <c r="Q217" s="3">
        <f t="shared" si="22"/>
        <v>0.49000000999999999</v>
      </c>
      <c r="R217" s="4">
        <f t="shared" si="27"/>
        <v>1</v>
      </c>
      <c r="S217" s="3">
        <f t="shared" si="23"/>
        <v>0.49000000999999999</v>
      </c>
      <c r="T217" s="4">
        <f t="shared" si="24"/>
        <v>1</v>
      </c>
      <c r="U217" s="3">
        <f t="shared" si="25"/>
        <v>0.13391637332604536</v>
      </c>
      <c r="V217" s="5">
        <f t="shared" si="26"/>
        <v>101.04081424406502</v>
      </c>
    </row>
    <row r="218" spans="1:22" x14ac:dyDescent="0.3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t="s">
        <v>22</v>
      </c>
      <c r="G218" t="s">
        <v>23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  <c r="P218" s="2">
        <f t="shared" si="21"/>
        <v>0</v>
      </c>
      <c r="Q218" s="3">
        <f t="shared" si="22"/>
        <v>0</v>
      </c>
      <c r="R218" s="4">
        <f t="shared" si="27"/>
        <v>0</v>
      </c>
      <c r="S218" s="3">
        <f t="shared" si="23"/>
        <v>0</v>
      </c>
      <c r="T218" s="4">
        <f t="shared" si="24"/>
        <v>0</v>
      </c>
      <c r="U218" s="3">
        <f t="shared" si="25"/>
        <v>0</v>
      </c>
      <c r="V218" s="5">
        <f t="shared" si="26"/>
        <v>0</v>
      </c>
    </row>
    <row r="219" spans="1:22" x14ac:dyDescent="0.3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t="s">
        <v>26</v>
      </c>
      <c r="G219" t="s">
        <v>27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  <c r="P219" s="2">
        <f t="shared" si="21"/>
        <v>1.3245033112582781E-2</v>
      </c>
      <c r="Q219" s="3">
        <f t="shared" si="22"/>
        <v>1.6799999480000001</v>
      </c>
      <c r="R219" s="4">
        <f t="shared" si="27"/>
        <v>1</v>
      </c>
      <c r="S219" s="3">
        <f t="shared" si="23"/>
        <v>1.6799999480000001</v>
      </c>
      <c r="T219" s="4">
        <f t="shared" si="24"/>
        <v>1</v>
      </c>
      <c r="U219" s="3">
        <f t="shared" si="25"/>
        <v>0.2225165494039735</v>
      </c>
      <c r="V219" s="5">
        <f t="shared" si="26"/>
        <v>28.761905683106601</v>
      </c>
    </row>
    <row r="220" spans="1:22" x14ac:dyDescent="0.3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t="s">
        <v>26</v>
      </c>
      <c r="G220" t="s">
        <v>27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  <c r="P220" s="2">
        <f t="shared" si="21"/>
        <v>3.3041830957992818E-2</v>
      </c>
      <c r="Q220" s="3">
        <f t="shared" si="22"/>
        <v>1.6946666239999999</v>
      </c>
      <c r="R220" s="4">
        <f t="shared" si="27"/>
        <v>6.6666666666666666E-2</v>
      </c>
      <c r="S220" s="3">
        <f t="shared" si="23"/>
        <v>25.419999359999998</v>
      </c>
      <c r="T220" s="4">
        <f t="shared" si="24"/>
        <v>1</v>
      </c>
      <c r="U220" s="3">
        <f t="shared" si="25"/>
        <v>0.55994888120360364</v>
      </c>
      <c r="V220" s="5">
        <f t="shared" si="26"/>
        <v>0.96695520294458426</v>
      </c>
    </row>
    <row r="221" spans="1:22" x14ac:dyDescent="0.3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t="s">
        <v>22</v>
      </c>
      <c r="G221" t="s">
        <v>23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  <c r="P221" s="2">
        <f t="shared" si="21"/>
        <v>8.6632591180802222E-3</v>
      </c>
      <c r="Q221" s="3">
        <f t="shared" si="22"/>
        <v>1.6550000309999999</v>
      </c>
      <c r="R221" s="4">
        <f t="shared" si="27"/>
        <v>0.5</v>
      </c>
      <c r="S221" s="3">
        <f t="shared" si="23"/>
        <v>3.3100000619999999</v>
      </c>
      <c r="T221" s="4">
        <f t="shared" si="24"/>
        <v>1</v>
      </c>
      <c r="U221" s="3">
        <f t="shared" si="25"/>
        <v>0.14337694108983801</v>
      </c>
      <c r="V221" s="5">
        <f t="shared" si="26"/>
        <v>14.105739898321488</v>
      </c>
    </row>
    <row r="222" spans="1:22" x14ac:dyDescent="0.3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t="s">
        <v>22</v>
      </c>
      <c r="G222" t="s">
        <v>23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  <c r="P222" s="2">
        <f t="shared" si="21"/>
        <v>6.0882800608828003E-3</v>
      </c>
      <c r="Q222" s="3">
        <f t="shared" si="22"/>
        <v>1.5499999520000001</v>
      </c>
      <c r="R222" s="4">
        <f t="shared" si="27"/>
        <v>0</v>
      </c>
      <c r="S222" s="3">
        <f t="shared" si="23"/>
        <v>0</v>
      </c>
      <c r="T222" s="4">
        <f t="shared" si="24"/>
        <v>0</v>
      </c>
      <c r="U222" s="3">
        <f t="shared" si="25"/>
        <v>9.4368338021308978E-2</v>
      </c>
      <c r="V222" s="5">
        <f t="shared" si="26"/>
        <v>-1</v>
      </c>
    </row>
    <row r="223" spans="1:22" x14ac:dyDescent="0.3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t="s">
        <v>22</v>
      </c>
      <c r="G223" t="s">
        <v>23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  <c r="P223" s="2">
        <f t="shared" si="21"/>
        <v>1.1427004296553616E-2</v>
      </c>
      <c r="Q223" s="3">
        <f t="shared" si="22"/>
        <v>1.0879999875999999</v>
      </c>
      <c r="R223" s="4">
        <f t="shared" si="27"/>
        <v>0</v>
      </c>
      <c r="S223" s="3">
        <f t="shared" si="23"/>
        <v>0</v>
      </c>
      <c r="T223" s="4">
        <f t="shared" si="24"/>
        <v>0</v>
      </c>
      <c r="U223" s="3">
        <f t="shared" si="25"/>
        <v>0.12432580532955481</v>
      </c>
      <c r="V223" s="5">
        <f t="shared" si="26"/>
        <v>-1</v>
      </c>
    </row>
    <row r="224" spans="1:22" x14ac:dyDescent="0.3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t="s">
        <v>22</v>
      </c>
      <c r="G224" t="s">
        <v>23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  <c r="P224" s="2">
        <f t="shared" si="21"/>
        <v>0</v>
      </c>
      <c r="Q224" s="3">
        <f t="shared" si="22"/>
        <v>0</v>
      </c>
      <c r="R224" s="4">
        <f t="shared" si="27"/>
        <v>0</v>
      </c>
      <c r="S224" s="3">
        <f t="shared" si="23"/>
        <v>0</v>
      </c>
      <c r="T224" s="4">
        <f t="shared" si="24"/>
        <v>0</v>
      </c>
      <c r="U224" s="3">
        <f t="shared" si="25"/>
        <v>0</v>
      </c>
      <c r="V224" s="5">
        <f t="shared" si="26"/>
        <v>0</v>
      </c>
    </row>
    <row r="225" spans="1:22" x14ac:dyDescent="0.3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t="s">
        <v>26</v>
      </c>
      <c r="G225" t="s">
        <v>27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  <c r="P225" s="2">
        <f t="shared" si="21"/>
        <v>3.1358865151178236E-2</v>
      </c>
      <c r="Q225" s="3">
        <f t="shared" si="22"/>
        <v>1.4838181430909092</v>
      </c>
      <c r="R225" s="4">
        <f t="shared" si="27"/>
        <v>0</v>
      </c>
      <c r="S225" s="3">
        <f t="shared" si="23"/>
        <v>0</v>
      </c>
      <c r="T225" s="4">
        <f t="shared" si="24"/>
        <v>0</v>
      </c>
      <c r="U225" s="3">
        <f t="shared" si="25"/>
        <v>0.46530853058059513</v>
      </c>
      <c r="V225" s="5">
        <f t="shared" si="26"/>
        <v>-1</v>
      </c>
    </row>
    <row r="226" spans="1:22" x14ac:dyDescent="0.3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t="s">
        <v>22</v>
      </c>
      <c r="G226" t="s">
        <v>23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  <c r="P226" s="2">
        <f t="shared" si="21"/>
        <v>0</v>
      </c>
      <c r="Q226" s="3">
        <f t="shared" si="22"/>
        <v>0</v>
      </c>
      <c r="R226" s="4">
        <f t="shared" si="27"/>
        <v>0</v>
      </c>
      <c r="S226" s="3">
        <f t="shared" si="23"/>
        <v>0</v>
      </c>
      <c r="T226" s="4">
        <f t="shared" si="24"/>
        <v>0</v>
      </c>
      <c r="U226" s="3">
        <f t="shared" si="25"/>
        <v>0</v>
      </c>
      <c r="V226" s="5">
        <f t="shared" si="26"/>
        <v>0</v>
      </c>
    </row>
    <row r="227" spans="1:22" x14ac:dyDescent="0.3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t="s">
        <v>26</v>
      </c>
      <c r="G227" t="s">
        <v>27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  <c r="P227" s="2">
        <f t="shared" si="21"/>
        <v>2.3610892491736188E-2</v>
      </c>
      <c r="Q227" s="3">
        <f t="shared" si="22"/>
        <v>1.6633332966666667</v>
      </c>
      <c r="R227" s="4">
        <f t="shared" si="27"/>
        <v>0.33333333333333331</v>
      </c>
      <c r="S227" s="3">
        <f t="shared" si="23"/>
        <v>4.98999989</v>
      </c>
      <c r="T227" s="4">
        <f t="shared" si="24"/>
        <v>1</v>
      </c>
      <c r="U227" s="3">
        <f t="shared" si="25"/>
        <v>0.39272783645521803</v>
      </c>
      <c r="V227" s="5">
        <f t="shared" si="26"/>
        <v>9.0200403010429717</v>
      </c>
    </row>
    <row r="228" spans="1:22" x14ac:dyDescent="0.3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t="s">
        <v>26</v>
      </c>
      <c r="G228" t="s">
        <v>27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  <c r="P228" s="2">
        <f t="shared" si="21"/>
        <v>2.8287742920992336E-2</v>
      </c>
      <c r="Q228" s="3">
        <f t="shared" si="22"/>
        <v>1.58549999</v>
      </c>
      <c r="R228" s="4">
        <f t="shared" si="27"/>
        <v>0</v>
      </c>
      <c r="S228" s="3">
        <f t="shared" si="23"/>
        <v>0</v>
      </c>
      <c r="T228" s="4">
        <f t="shared" si="24"/>
        <v>0</v>
      </c>
      <c r="U228" s="3">
        <f t="shared" si="25"/>
        <v>0.44850216118355918</v>
      </c>
      <c r="V228" s="5">
        <f t="shared" si="26"/>
        <v>-1</v>
      </c>
    </row>
    <row r="229" spans="1:22" x14ac:dyDescent="0.3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t="s">
        <v>26</v>
      </c>
      <c r="G229" t="s">
        <v>27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  <c r="P229" s="2">
        <f t="shared" si="21"/>
        <v>2.5028548187776684E-2</v>
      </c>
      <c r="Q229" s="3">
        <f t="shared" si="22"/>
        <v>1.5950000287499999</v>
      </c>
      <c r="R229" s="4">
        <f t="shared" si="27"/>
        <v>0</v>
      </c>
      <c r="S229" s="3">
        <f t="shared" si="23"/>
        <v>0</v>
      </c>
      <c r="T229" s="4">
        <f t="shared" si="24"/>
        <v>0</v>
      </c>
      <c r="U229" s="3">
        <f t="shared" si="25"/>
        <v>0.39920535079074565</v>
      </c>
      <c r="V229" s="5">
        <f t="shared" si="26"/>
        <v>-1</v>
      </c>
    </row>
    <row r="230" spans="1:22" x14ac:dyDescent="0.3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t="s">
        <v>26</v>
      </c>
      <c r="G230" t="s">
        <v>27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  <c r="P230" s="2">
        <f t="shared" si="21"/>
        <v>1.9860973187686197E-2</v>
      </c>
      <c r="Q230" s="3">
        <f t="shared" si="22"/>
        <v>1.4199999966666665</v>
      </c>
      <c r="R230" s="4">
        <f t="shared" si="27"/>
        <v>0</v>
      </c>
      <c r="S230" s="3">
        <f t="shared" si="23"/>
        <v>0</v>
      </c>
      <c r="T230" s="4">
        <f t="shared" si="24"/>
        <v>0</v>
      </c>
      <c r="U230" s="3">
        <f t="shared" si="25"/>
        <v>0.28202581860311154</v>
      </c>
      <c r="V230" s="5">
        <f t="shared" si="26"/>
        <v>-1</v>
      </c>
    </row>
    <row r="231" spans="1:22" x14ac:dyDescent="0.3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t="s">
        <v>22</v>
      </c>
      <c r="G231" t="s">
        <v>27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  <c r="P231" s="2">
        <f t="shared" si="21"/>
        <v>1.1397310234784592E-2</v>
      </c>
      <c r="Q231" s="3">
        <f t="shared" si="22"/>
        <v>1.8300000430000001</v>
      </c>
      <c r="R231" s="4">
        <f t="shared" si="27"/>
        <v>0</v>
      </c>
      <c r="S231" s="3">
        <f t="shared" si="23"/>
        <v>0</v>
      </c>
      <c r="T231" s="4">
        <f t="shared" si="24"/>
        <v>0</v>
      </c>
      <c r="U231" s="3">
        <f t="shared" si="25"/>
        <v>0.20857078219740144</v>
      </c>
      <c r="V231" s="5">
        <f t="shared" si="26"/>
        <v>-1</v>
      </c>
    </row>
    <row r="232" spans="1:22" x14ac:dyDescent="0.3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t="s">
        <v>22</v>
      </c>
      <c r="G232" t="s">
        <v>27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  <c r="P232" s="2">
        <f t="shared" si="21"/>
        <v>6.9161076146344843E-3</v>
      </c>
      <c r="Q232" s="3">
        <f t="shared" si="22"/>
        <v>1.3899999860000001</v>
      </c>
      <c r="R232" s="4">
        <f t="shared" si="27"/>
        <v>0</v>
      </c>
      <c r="S232" s="3">
        <f t="shared" si="23"/>
        <v>0</v>
      </c>
      <c r="T232" s="4">
        <f t="shared" si="24"/>
        <v>0</v>
      </c>
      <c r="U232" s="3">
        <f t="shared" si="25"/>
        <v>9.6133894875164272E-2</v>
      </c>
      <c r="V232" s="5">
        <f t="shared" si="26"/>
        <v>-1</v>
      </c>
    </row>
    <row r="233" spans="1:22" x14ac:dyDescent="0.3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t="s">
        <v>22</v>
      </c>
      <c r="G233" t="s">
        <v>27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  <c r="P233" s="2">
        <f t="shared" si="21"/>
        <v>9.2609742544915719E-3</v>
      </c>
      <c r="Q233" s="3">
        <f t="shared" si="22"/>
        <v>1.4049999715000001</v>
      </c>
      <c r="R233" s="4">
        <f t="shared" si="27"/>
        <v>0</v>
      </c>
      <c r="S233" s="3">
        <f t="shared" si="23"/>
        <v>0</v>
      </c>
      <c r="T233" s="4">
        <f t="shared" si="24"/>
        <v>0</v>
      </c>
      <c r="U233" s="3">
        <f t="shared" si="25"/>
        <v>0.13011668563622894</v>
      </c>
      <c r="V233" s="5">
        <f t="shared" si="26"/>
        <v>-1</v>
      </c>
    </row>
    <row r="234" spans="1:22" x14ac:dyDescent="0.3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t="s">
        <v>22</v>
      </c>
      <c r="G234" t="s">
        <v>27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  <c r="P234" s="2">
        <f t="shared" si="21"/>
        <v>1.1982326069048154E-2</v>
      </c>
      <c r="Q234" s="3">
        <f t="shared" si="22"/>
        <v>1.38124996375</v>
      </c>
      <c r="R234" s="4">
        <f t="shared" si="27"/>
        <v>0</v>
      </c>
      <c r="S234" s="3">
        <f t="shared" si="23"/>
        <v>0</v>
      </c>
      <c r="T234" s="4">
        <f t="shared" si="24"/>
        <v>0</v>
      </c>
      <c r="U234" s="3">
        <f t="shared" si="25"/>
        <v>0.16550587448513443</v>
      </c>
      <c r="V234" s="5">
        <f t="shared" si="26"/>
        <v>-1</v>
      </c>
    </row>
    <row r="235" spans="1:22" x14ac:dyDescent="0.3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t="s">
        <v>22</v>
      </c>
      <c r="G235" t="s">
        <v>27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  <c r="P235" s="2">
        <f t="shared" si="21"/>
        <v>0</v>
      </c>
      <c r="Q235" s="3">
        <f t="shared" si="22"/>
        <v>0</v>
      </c>
      <c r="R235" s="4">
        <f t="shared" si="27"/>
        <v>0</v>
      </c>
      <c r="S235" s="3">
        <f t="shared" si="23"/>
        <v>0</v>
      </c>
      <c r="T235" s="4">
        <f t="shared" si="24"/>
        <v>1</v>
      </c>
      <c r="U235" s="3">
        <f t="shared" si="25"/>
        <v>0</v>
      </c>
      <c r="V235" s="5">
        <f t="shared" si="26"/>
        <v>0</v>
      </c>
    </row>
    <row r="236" spans="1:22" x14ac:dyDescent="0.3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t="s">
        <v>22</v>
      </c>
      <c r="G236" t="s">
        <v>27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  <c r="P236" s="2">
        <f t="shared" si="21"/>
        <v>1.858045336306206E-2</v>
      </c>
      <c r="Q236" s="3">
        <f t="shared" si="22"/>
        <v>1.4459999562000001</v>
      </c>
      <c r="R236" s="4">
        <f t="shared" si="27"/>
        <v>0</v>
      </c>
      <c r="S236" s="3">
        <f t="shared" si="23"/>
        <v>0</v>
      </c>
      <c r="T236" s="4">
        <f t="shared" si="24"/>
        <v>0</v>
      </c>
      <c r="U236" s="3">
        <f t="shared" si="25"/>
        <v>0.26867334749163879</v>
      </c>
      <c r="V236" s="5">
        <f t="shared" si="26"/>
        <v>-1</v>
      </c>
    </row>
    <row r="237" spans="1:22" x14ac:dyDescent="0.3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t="s">
        <v>22</v>
      </c>
      <c r="G237" t="s">
        <v>27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  <c r="P237" s="2">
        <f t="shared" si="21"/>
        <v>0</v>
      </c>
      <c r="Q237" s="3">
        <f t="shared" si="22"/>
        <v>0</v>
      </c>
      <c r="R237" s="4">
        <f t="shared" si="27"/>
        <v>0</v>
      </c>
      <c r="S237" s="3">
        <f t="shared" si="23"/>
        <v>0</v>
      </c>
      <c r="T237" s="4">
        <f t="shared" si="24"/>
        <v>0</v>
      </c>
      <c r="U237" s="3">
        <f t="shared" si="25"/>
        <v>0</v>
      </c>
      <c r="V237" s="5">
        <f t="shared" si="26"/>
        <v>0</v>
      </c>
    </row>
    <row r="238" spans="1:22" x14ac:dyDescent="0.3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t="s">
        <v>26</v>
      </c>
      <c r="G238" t="s">
        <v>23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  <c r="P238" s="2">
        <f t="shared" si="21"/>
        <v>2.5025025025025023E-2</v>
      </c>
      <c r="Q238" s="3">
        <f t="shared" si="22"/>
        <v>1.4233332873333333</v>
      </c>
      <c r="R238" s="4">
        <f t="shared" si="27"/>
        <v>0</v>
      </c>
      <c r="S238" s="3">
        <f t="shared" si="23"/>
        <v>0</v>
      </c>
      <c r="T238" s="4">
        <f t="shared" si="24"/>
        <v>0</v>
      </c>
      <c r="U238" s="3">
        <f t="shared" si="25"/>
        <v>0.35618951134467802</v>
      </c>
      <c r="V238" s="5">
        <f t="shared" si="26"/>
        <v>-1</v>
      </c>
    </row>
    <row r="239" spans="1:22" x14ac:dyDescent="0.3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t="s">
        <v>26</v>
      </c>
      <c r="G239" t="s">
        <v>23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  <c r="P239" s="2">
        <f t="shared" si="21"/>
        <v>3.1002945279801578E-2</v>
      </c>
      <c r="Q239" s="3">
        <f t="shared" si="22"/>
        <v>1.5799999833333331</v>
      </c>
      <c r="R239" s="4">
        <f t="shared" si="27"/>
        <v>0.16666666666666666</v>
      </c>
      <c r="S239" s="3">
        <f t="shared" si="23"/>
        <v>9.4799998999999993</v>
      </c>
      <c r="T239" s="4">
        <f t="shared" si="24"/>
        <v>1</v>
      </c>
      <c r="U239" s="3">
        <f t="shared" si="25"/>
        <v>0.48984653025370745</v>
      </c>
      <c r="V239" s="5">
        <f t="shared" si="26"/>
        <v>4.2742616590111995</v>
      </c>
    </row>
    <row r="240" spans="1:22" x14ac:dyDescent="0.3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t="s">
        <v>25</v>
      </c>
      <c r="G240" t="s">
        <v>23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  <c r="P240" s="2">
        <f t="shared" si="21"/>
        <v>1.824817518248175E-2</v>
      </c>
      <c r="Q240" s="3">
        <f t="shared" si="22"/>
        <v>1.4450000525</v>
      </c>
      <c r="R240" s="4">
        <f t="shared" si="27"/>
        <v>0</v>
      </c>
      <c r="S240" s="3">
        <f t="shared" si="23"/>
        <v>0</v>
      </c>
      <c r="T240" s="4">
        <f t="shared" si="24"/>
        <v>0</v>
      </c>
      <c r="U240" s="3">
        <f t="shared" si="25"/>
        <v>0.26368614096715326</v>
      </c>
      <c r="V240" s="5">
        <f t="shared" si="26"/>
        <v>-1</v>
      </c>
    </row>
    <row r="241" spans="1:22" x14ac:dyDescent="0.3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t="s">
        <v>22</v>
      </c>
      <c r="G241" t="s">
        <v>23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  <c r="P241" s="2">
        <f t="shared" si="21"/>
        <v>1.7915260816338718E-2</v>
      </c>
      <c r="Q241" s="3">
        <f t="shared" si="22"/>
        <v>1.761666615</v>
      </c>
      <c r="R241" s="4">
        <f t="shared" si="27"/>
        <v>0.16666666666666666</v>
      </c>
      <c r="S241" s="3">
        <f t="shared" si="23"/>
        <v>10.56999969</v>
      </c>
      <c r="T241" s="4">
        <f t="shared" si="24"/>
        <v>0.5</v>
      </c>
      <c r="U241" s="3">
        <f t="shared" si="25"/>
        <v>0.31560716879161566</v>
      </c>
      <c r="V241" s="5">
        <f t="shared" si="26"/>
        <v>3.7303691075131904</v>
      </c>
    </row>
    <row r="242" spans="1:22" x14ac:dyDescent="0.3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t="s">
        <v>22</v>
      </c>
      <c r="G242" t="s">
        <v>23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  <c r="P242" s="2">
        <f t="shared" si="21"/>
        <v>9.9586715132201353E-3</v>
      </c>
      <c r="Q242" s="3">
        <f t="shared" si="22"/>
        <v>1.6000000240000001</v>
      </c>
      <c r="R242" s="4">
        <f t="shared" si="27"/>
        <v>0.5</v>
      </c>
      <c r="S242" s="3">
        <f t="shared" si="23"/>
        <v>3.2000000480000002</v>
      </c>
      <c r="T242" s="4">
        <f t="shared" si="24"/>
        <v>0.5</v>
      </c>
      <c r="U242" s="3">
        <f t="shared" si="25"/>
        <v>0.15933874660160335</v>
      </c>
      <c r="V242" s="5">
        <f t="shared" si="26"/>
        <v>14.624999765625002</v>
      </c>
    </row>
    <row r="243" spans="1:22" x14ac:dyDescent="0.3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t="s">
        <v>22</v>
      </c>
      <c r="G243" t="s">
        <v>23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  <c r="P243" s="2">
        <f t="shared" si="21"/>
        <v>0</v>
      </c>
      <c r="Q243" s="3">
        <f t="shared" si="22"/>
        <v>0</v>
      </c>
      <c r="R243" s="4">
        <f t="shared" si="27"/>
        <v>0</v>
      </c>
      <c r="S243" s="3">
        <f t="shared" si="23"/>
        <v>0</v>
      </c>
      <c r="T243" s="4">
        <f t="shared" si="24"/>
        <v>1</v>
      </c>
      <c r="U243" s="3">
        <f t="shared" si="25"/>
        <v>0</v>
      </c>
      <c r="V243" s="5">
        <f t="shared" si="26"/>
        <v>0</v>
      </c>
    </row>
    <row r="244" spans="1:22" x14ac:dyDescent="0.3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t="s">
        <v>22</v>
      </c>
      <c r="G244" t="s">
        <v>23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  <c r="P244" s="2">
        <f t="shared" si="21"/>
        <v>6.4657959394801507E-3</v>
      </c>
      <c r="Q244" s="3">
        <f t="shared" si="22"/>
        <v>0.97000002900000004</v>
      </c>
      <c r="R244" s="4">
        <f t="shared" si="27"/>
        <v>0</v>
      </c>
      <c r="S244" s="3">
        <f t="shared" si="23"/>
        <v>0</v>
      </c>
      <c r="T244" s="4">
        <f t="shared" si="24"/>
        <v>0</v>
      </c>
      <c r="U244" s="3">
        <f t="shared" si="25"/>
        <v>6.271822248803828E-2</v>
      </c>
      <c r="V244" s="5">
        <f t="shared" si="26"/>
        <v>-1</v>
      </c>
    </row>
    <row r="245" spans="1:22" x14ac:dyDescent="0.3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t="s">
        <v>22</v>
      </c>
      <c r="G245" t="s">
        <v>23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  <c r="P245" s="2">
        <f t="shared" si="21"/>
        <v>1.1081560283687944E-2</v>
      </c>
      <c r="Q245" s="3">
        <f t="shared" si="22"/>
        <v>1.4566666683333331</v>
      </c>
      <c r="R245" s="4">
        <f t="shared" si="27"/>
        <v>0</v>
      </c>
      <c r="S245" s="3">
        <f t="shared" si="23"/>
        <v>0</v>
      </c>
      <c r="T245" s="4">
        <f t="shared" si="24"/>
        <v>0</v>
      </c>
      <c r="U245" s="3">
        <f t="shared" si="25"/>
        <v>0.16142139498374705</v>
      </c>
      <c r="V245" s="5">
        <f t="shared" si="26"/>
        <v>-1</v>
      </c>
    </row>
    <row r="246" spans="1:22" x14ac:dyDescent="0.3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t="s">
        <v>22</v>
      </c>
      <c r="G246" t="s">
        <v>23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  <c r="P246" s="2">
        <f t="shared" si="21"/>
        <v>6.3479972068812293E-3</v>
      </c>
      <c r="Q246" s="3">
        <f t="shared" si="22"/>
        <v>0.56999999300000004</v>
      </c>
      <c r="R246" s="4">
        <f t="shared" si="27"/>
        <v>1</v>
      </c>
      <c r="S246" s="3">
        <f t="shared" si="23"/>
        <v>0.56999999300000004</v>
      </c>
      <c r="T246" s="4">
        <f t="shared" si="24"/>
        <v>1</v>
      </c>
      <c r="U246" s="3">
        <f t="shared" si="25"/>
        <v>3.6183583634863202E-2</v>
      </c>
      <c r="V246" s="5">
        <f t="shared" si="26"/>
        <v>86.719299322868579</v>
      </c>
    </row>
    <row r="247" spans="1:22" x14ac:dyDescent="0.3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t="s">
        <v>25</v>
      </c>
      <c r="G247" t="s">
        <v>23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  <c r="P247" s="2">
        <f t="shared" si="21"/>
        <v>2.8384899233607722E-2</v>
      </c>
      <c r="Q247" s="3">
        <f t="shared" si="22"/>
        <v>1.809999943</v>
      </c>
      <c r="R247" s="4">
        <f t="shared" si="27"/>
        <v>1</v>
      </c>
      <c r="S247" s="3">
        <f t="shared" si="23"/>
        <v>1.809999943</v>
      </c>
      <c r="T247" s="4">
        <f t="shared" si="24"/>
        <v>1</v>
      </c>
      <c r="U247" s="3">
        <f t="shared" si="25"/>
        <v>0.51376665994890713</v>
      </c>
      <c r="V247" s="5">
        <f t="shared" si="26"/>
        <v>26.624310262202034</v>
      </c>
    </row>
    <row r="248" spans="1:22" x14ac:dyDescent="0.3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t="s">
        <v>25</v>
      </c>
      <c r="G248" t="s">
        <v>23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  <c r="P248" s="2">
        <f t="shared" si="21"/>
        <v>0</v>
      </c>
      <c r="Q248" s="3">
        <f t="shared" si="22"/>
        <v>0</v>
      </c>
      <c r="R248" s="4">
        <f t="shared" si="27"/>
        <v>0</v>
      </c>
      <c r="S248" s="3">
        <f t="shared" si="23"/>
        <v>0</v>
      </c>
      <c r="T248" s="4">
        <f t="shared" si="24"/>
        <v>0</v>
      </c>
      <c r="U248" s="3">
        <f t="shared" si="25"/>
        <v>0</v>
      </c>
      <c r="V248" s="5">
        <f t="shared" si="26"/>
        <v>0</v>
      </c>
    </row>
    <row r="249" spans="1:22" x14ac:dyDescent="0.3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t="s">
        <v>25</v>
      </c>
      <c r="G249" t="s">
        <v>23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  <c r="P249" s="2">
        <f t="shared" si="21"/>
        <v>1.0690042225666791E-2</v>
      </c>
      <c r="Q249" s="3">
        <f t="shared" si="22"/>
        <v>1.6599999665</v>
      </c>
      <c r="R249" s="4">
        <f t="shared" si="27"/>
        <v>0</v>
      </c>
      <c r="S249" s="3">
        <f t="shared" si="23"/>
        <v>0</v>
      </c>
      <c r="T249" s="4">
        <f t="shared" si="24"/>
        <v>0</v>
      </c>
      <c r="U249" s="3">
        <f t="shared" si="25"/>
        <v>0.1774546973649046</v>
      </c>
      <c r="V249" s="5">
        <f t="shared" si="26"/>
        <v>-1</v>
      </c>
    </row>
    <row r="250" spans="1:22" x14ac:dyDescent="0.3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t="s">
        <v>25</v>
      </c>
      <c r="G250" t="s">
        <v>23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  <c r="P250" s="2">
        <f t="shared" si="21"/>
        <v>0</v>
      </c>
      <c r="Q250" s="3">
        <f t="shared" si="22"/>
        <v>0</v>
      </c>
      <c r="R250" s="4">
        <f t="shared" si="27"/>
        <v>0</v>
      </c>
      <c r="S250" s="3">
        <f t="shared" si="23"/>
        <v>0</v>
      </c>
      <c r="T250" s="4">
        <f t="shared" si="24"/>
        <v>0.5</v>
      </c>
      <c r="U250" s="3">
        <f t="shared" si="25"/>
        <v>0</v>
      </c>
      <c r="V250" s="5">
        <f t="shared" si="26"/>
        <v>0</v>
      </c>
    </row>
    <row r="251" spans="1:22" x14ac:dyDescent="0.3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t="s">
        <v>22</v>
      </c>
      <c r="G251" t="s">
        <v>23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  <c r="P251" s="2">
        <f t="shared" si="21"/>
        <v>1.2553351744915892E-2</v>
      </c>
      <c r="Q251" s="3">
        <f t="shared" si="22"/>
        <v>1.1799999480000001</v>
      </c>
      <c r="R251" s="4">
        <f t="shared" si="27"/>
        <v>1</v>
      </c>
      <c r="S251" s="3">
        <f t="shared" si="23"/>
        <v>1.1799999480000001</v>
      </c>
      <c r="T251" s="4">
        <f t="shared" si="24"/>
        <v>1</v>
      </c>
      <c r="U251" s="3">
        <f t="shared" si="25"/>
        <v>0.14812954406226464</v>
      </c>
      <c r="V251" s="5">
        <f t="shared" si="26"/>
        <v>41.372883223211801</v>
      </c>
    </row>
    <row r="252" spans="1:22" x14ac:dyDescent="0.3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t="s">
        <v>22</v>
      </c>
      <c r="G252" t="s">
        <v>23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  <c r="P252" s="2">
        <f t="shared" si="21"/>
        <v>0</v>
      </c>
      <c r="Q252" s="3">
        <f t="shared" si="22"/>
        <v>0</v>
      </c>
      <c r="R252" s="4">
        <f t="shared" si="27"/>
        <v>0</v>
      </c>
      <c r="S252" s="3">
        <f t="shared" si="23"/>
        <v>0</v>
      </c>
      <c r="T252" s="4">
        <f t="shared" si="24"/>
        <v>1</v>
      </c>
      <c r="U252" s="3">
        <f t="shared" si="25"/>
        <v>0</v>
      </c>
      <c r="V252" s="5">
        <f t="shared" si="26"/>
        <v>0</v>
      </c>
    </row>
    <row r="253" spans="1:22" x14ac:dyDescent="0.3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t="s">
        <v>22</v>
      </c>
      <c r="G253" t="s">
        <v>23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  <c r="P253" s="2">
        <f t="shared" si="21"/>
        <v>2.3464998044583497E-2</v>
      </c>
      <c r="Q253" s="3">
        <f t="shared" si="22"/>
        <v>1.5766666730000001</v>
      </c>
      <c r="R253" s="4">
        <f t="shared" si="27"/>
        <v>0.33333333333333331</v>
      </c>
      <c r="S253" s="3">
        <f t="shared" si="23"/>
        <v>4.7300000190000002</v>
      </c>
      <c r="T253" s="4">
        <f t="shared" si="24"/>
        <v>0.5</v>
      </c>
      <c r="U253" s="3">
        <f t="shared" si="25"/>
        <v>0.36996480398904968</v>
      </c>
      <c r="V253" s="5">
        <f t="shared" si="26"/>
        <v>9.5708244818508099</v>
      </c>
    </row>
    <row r="254" spans="1:22" x14ac:dyDescent="0.3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t="s">
        <v>22</v>
      </c>
      <c r="G254" t="s">
        <v>23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  <c r="P254" s="2">
        <f t="shared" si="21"/>
        <v>1.2175818823815901E-2</v>
      </c>
      <c r="Q254" s="3">
        <f t="shared" si="22"/>
        <v>1.3799999949999999</v>
      </c>
      <c r="R254" s="4">
        <f t="shared" si="27"/>
        <v>1</v>
      </c>
      <c r="S254" s="3">
        <f t="shared" si="23"/>
        <v>1.3799999949999999</v>
      </c>
      <c r="T254" s="4">
        <f t="shared" si="24"/>
        <v>1</v>
      </c>
      <c r="U254" s="3">
        <f t="shared" si="25"/>
        <v>0.1680262991598685</v>
      </c>
      <c r="V254" s="5">
        <f t="shared" si="26"/>
        <v>35.23188418924596</v>
      </c>
    </row>
    <row r="255" spans="1:22" x14ac:dyDescent="0.3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t="s">
        <v>22</v>
      </c>
      <c r="G255" t="s">
        <v>23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  <c r="P255" s="2">
        <f t="shared" si="21"/>
        <v>0</v>
      </c>
      <c r="Q255" s="3">
        <f t="shared" si="22"/>
        <v>0</v>
      </c>
      <c r="R255" s="4">
        <f t="shared" si="27"/>
        <v>0</v>
      </c>
      <c r="S255" s="3">
        <f t="shared" si="23"/>
        <v>0</v>
      </c>
      <c r="T255" s="4">
        <f t="shared" si="24"/>
        <v>1</v>
      </c>
      <c r="U255" s="3">
        <f t="shared" si="25"/>
        <v>0</v>
      </c>
      <c r="V255" s="5">
        <f t="shared" si="26"/>
        <v>0</v>
      </c>
    </row>
    <row r="256" spans="1:22" x14ac:dyDescent="0.3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t="s">
        <v>25</v>
      </c>
      <c r="G256" t="s">
        <v>23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  <c r="P256" s="2">
        <f t="shared" si="21"/>
        <v>4.0338846308995563E-2</v>
      </c>
      <c r="Q256" s="3">
        <f t="shared" si="22"/>
        <v>1.2599999900000001</v>
      </c>
      <c r="R256" s="4">
        <f t="shared" si="27"/>
        <v>0</v>
      </c>
      <c r="S256" s="3">
        <f t="shared" si="23"/>
        <v>0</v>
      </c>
      <c r="T256" s="4">
        <f t="shared" si="24"/>
        <v>0</v>
      </c>
      <c r="U256" s="3">
        <f t="shared" si="25"/>
        <v>0.50826945945945956</v>
      </c>
      <c r="V256" s="5">
        <f t="shared" si="26"/>
        <v>-1</v>
      </c>
    </row>
    <row r="257" spans="1:22" x14ac:dyDescent="0.3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t="s">
        <v>25</v>
      </c>
      <c r="G257" t="s">
        <v>23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  <c r="P257" s="2">
        <f t="shared" si="21"/>
        <v>5.2465897166841552E-2</v>
      </c>
      <c r="Q257" s="3">
        <f t="shared" si="22"/>
        <v>1.5249999759999999</v>
      </c>
      <c r="R257" s="4">
        <f t="shared" si="27"/>
        <v>0</v>
      </c>
      <c r="S257" s="3">
        <f t="shared" si="23"/>
        <v>0</v>
      </c>
      <c r="T257" s="4">
        <f t="shared" si="24"/>
        <v>0</v>
      </c>
      <c r="U257" s="3">
        <f t="shared" si="25"/>
        <v>0.80010491920251825</v>
      </c>
      <c r="V257" s="5">
        <f t="shared" si="26"/>
        <v>-1</v>
      </c>
    </row>
    <row r="258" spans="1:22" x14ac:dyDescent="0.3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t="s">
        <v>26</v>
      </c>
      <c r="G258" t="s">
        <v>23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  <c r="P258" s="2">
        <f t="shared" ref="P258:P321" si="28">IF(K258&gt;0, (L258/K258)*100, 0)</f>
        <v>0</v>
      </c>
      <c r="Q258" s="3">
        <f t="shared" ref="Q258:Q321" si="29">IF(L258&gt;0, M258/L258, 0)</f>
        <v>0</v>
      </c>
      <c r="R258" s="4">
        <f t="shared" si="27"/>
        <v>0</v>
      </c>
      <c r="S258" s="3">
        <f t="shared" ref="S258:S321" si="30">IF(O258&gt;0, M258/O258, 0)</f>
        <v>0</v>
      </c>
      <c r="T258" s="4">
        <f t="shared" ref="T258:T321" si="31">IF(N258&gt;0, O258/N258, 0)</f>
        <v>0</v>
      </c>
      <c r="U258" s="3">
        <f t="shared" ref="U258:U321" si="32">IF(K258&gt;0, (M258/K258)*1000, 0)</f>
        <v>0</v>
      </c>
      <c r="V258" s="5">
        <f t="shared" ref="V258:V321" si="33">IF(M258&gt;0, ((O258*50)-M258)/M258, 0)</f>
        <v>0</v>
      </c>
    </row>
    <row r="259" spans="1:22" x14ac:dyDescent="0.3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t="s">
        <v>26</v>
      </c>
      <c r="G259" t="s">
        <v>23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  <c r="P259" s="2">
        <f t="shared" si="28"/>
        <v>2.9248318221702253E-2</v>
      </c>
      <c r="Q259" s="3">
        <f t="shared" si="29"/>
        <v>1.1933333079999999</v>
      </c>
      <c r="R259" s="4">
        <f t="shared" ref="R259:R322" si="34">IF(L259&gt;0, O259/L259, 0)</f>
        <v>0.33333333333333331</v>
      </c>
      <c r="S259" s="3">
        <f t="shared" si="30"/>
        <v>3.579999924</v>
      </c>
      <c r="T259" s="4">
        <f t="shared" si="31"/>
        <v>1</v>
      </c>
      <c r="U259" s="3">
        <f t="shared" si="32"/>
        <v>0.34902992336940625</v>
      </c>
      <c r="V259" s="5">
        <f t="shared" si="33"/>
        <v>12.966480743422496</v>
      </c>
    </row>
    <row r="260" spans="1:22" x14ac:dyDescent="0.3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t="s">
        <v>25</v>
      </c>
      <c r="G260" t="s">
        <v>23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  <c r="P260" s="2">
        <f t="shared" si="28"/>
        <v>3.2372936225315639E-2</v>
      </c>
      <c r="Q260" s="3">
        <f t="shared" si="29"/>
        <v>1.5699999927499999</v>
      </c>
      <c r="R260" s="4">
        <f t="shared" si="34"/>
        <v>0</v>
      </c>
      <c r="S260" s="3">
        <f t="shared" si="30"/>
        <v>0</v>
      </c>
      <c r="T260" s="4">
        <f t="shared" si="31"/>
        <v>0</v>
      </c>
      <c r="U260" s="3">
        <f t="shared" si="32"/>
        <v>0.50825509639041755</v>
      </c>
      <c r="V260" s="5">
        <f t="shared" si="33"/>
        <v>-1</v>
      </c>
    </row>
    <row r="261" spans="1:22" x14ac:dyDescent="0.3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t="s">
        <v>26</v>
      </c>
      <c r="G261" t="s">
        <v>23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  <c r="P261" s="2">
        <f t="shared" si="28"/>
        <v>1.3495276653171389E-2</v>
      </c>
      <c r="Q261" s="3">
        <f t="shared" si="29"/>
        <v>1.210000038</v>
      </c>
      <c r="R261" s="4">
        <f t="shared" si="34"/>
        <v>0</v>
      </c>
      <c r="S261" s="3">
        <f t="shared" si="30"/>
        <v>0</v>
      </c>
      <c r="T261" s="4">
        <f t="shared" si="31"/>
        <v>0</v>
      </c>
      <c r="U261" s="3">
        <f t="shared" si="32"/>
        <v>0.16329285263157894</v>
      </c>
      <c r="V261" s="5">
        <f t="shared" si="33"/>
        <v>-1</v>
      </c>
    </row>
    <row r="262" spans="1:22" x14ac:dyDescent="0.3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t="s">
        <v>26</v>
      </c>
      <c r="G262" t="s">
        <v>23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  <c r="P262" s="2">
        <f t="shared" si="28"/>
        <v>1.9986009793144799E-2</v>
      </c>
      <c r="Q262" s="3">
        <f t="shared" si="29"/>
        <v>1.6653571467857142</v>
      </c>
      <c r="R262" s="4">
        <f t="shared" si="34"/>
        <v>0</v>
      </c>
      <c r="S262" s="3">
        <f t="shared" si="30"/>
        <v>0</v>
      </c>
      <c r="T262" s="4">
        <f t="shared" si="31"/>
        <v>0</v>
      </c>
      <c r="U262" s="3">
        <f t="shared" si="32"/>
        <v>0.33283844244742961</v>
      </c>
      <c r="V262" s="5">
        <f t="shared" si="33"/>
        <v>-1</v>
      </c>
    </row>
    <row r="263" spans="1:22" x14ac:dyDescent="0.3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t="s">
        <v>26</v>
      </c>
      <c r="G263" t="s">
        <v>23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  <c r="P263" s="2">
        <f t="shared" si="28"/>
        <v>1.8687921062221433E-2</v>
      </c>
      <c r="Q263" s="3">
        <f t="shared" si="29"/>
        <v>1.722000006</v>
      </c>
      <c r="R263" s="4">
        <f t="shared" si="34"/>
        <v>0</v>
      </c>
      <c r="S263" s="3">
        <f t="shared" si="30"/>
        <v>0</v>
      </c>
      <c r="T263" s="4">
        <f t="shared" si="31"/>
        <v>0</v>
      </c>
      <c r="U263" s="3">
        <f t="shared" si="32"/>
        <v>0.32180600181272834</v>
      </c>
      <c r="V263" s="5">
        <f t="shared" si="33"/>
        <v>-1</v>
      </c>
    </row>
    <row r="264" spans="1:22" x14ac:dyDescent="0.3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t="s">
        <v>24</v>
      </c>
      <c r="G264" t="s">
        <v>23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  <c r="P264" s="2">
        <f t="shared" si="28"/>
        <v>3.5752592062924561E-2</v>
      </c>
      <c r="Q264" s="3">
        <f t="shared" si="29"/>
        <v>1.289999962</v>
      </c>
      <c r="R264" s="4">
        <f t="shared" si="34"/>
        <v>0</v>
      </c>
      <c r="S264" s="3">
        <f t="shared" si="30"/>
        <v>0</v>
      </c>
      <c r="T264" s="4">
        <f t="shared" si="31"/>
        <v>0</v>
      </c>
      <c r="U264" s="3">
        <f t="shared" si="32"/>
        <v>0.46120842402574186</v>
      </c>
      <c r="V264" s="5">
        <f t="shared" si="33"/>
        <v>-1</v>
      </c>
    </row>
    <row r="265" spans="1:22" x14ac:dyDescent="0.3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t="s">
        <v>26</v>
      </c>
      <c r="G265" t="s">
        <v>23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  <c r="P265" s="2">
        <f t="shared" si="28"/>
        <v>3.6449790413705122E-2</v>
      </c>
      <c r="Q265" s="3">
        <f t="shared" si="29"/>
        <v>1.5366666316666666</v>
      </c>
      <c r="R265" s="4">
        <f t="shared" si="34"/>
        <v>0</v>
      </c>
      <c r="S265" s="3">
        <f t="shared" si="30"/>
        <v>0</v>
      </c>
      <c r="T265" s="4">
        <f t="shared" si="31"/>
        <v>0</v>
      </c>
      <c r="U265" s="3">
        <f t="shared" si="32"/>
        <v>0.56011176659984208</v>
      </c>
      <c r="V265" s="5">
        <f t="shared" si="33"/>
        <v>-1</v>
      </c>
    </row>
    <row r="266" spans="1:22" x14ac:dyDescent="0.3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t="s">
        <v>25</v>
      </c>
      <c r="G266" t="s">
        <v>23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  <c r="P266" s="2">
        <f t="shared" si="28"/>
        <v>2.8591033851784083E-2</v>
      </c>
      <c r="Q266" s="3">
        <f t="shared" si="29"/>
        <v>1.5439999818000001</v>
      </c>
      <c r="R266" s="4">
        <f t="shared" si="34"/>
        <v>0</v>
      </c>
      <c r="S266" s="3">
        <f t="shared" si="30"/>
        <v>0</v>
      </c>
      <c r="T266" s="4">
        <f t="shared" si="31"/>
        <v>0</v>
      </c>
      <c r="U266" s="3">
        <f t="shared" si="32"/>
        <v>0.44144555746797803</v>
      </c>
      <c r="V266" s="5">
        <f t="shared" si="33"/>
        <v>-1</v>
      </c>
    </row>
    <row r="267" spans="1:22" x14ac:dyDescent="0.3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t="s">
        <v>24</v>
      </c>
      <c r="G267" t="s">
        <v>23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  <c r="P267" s="2">
        <f t="shared" si="28"/>
        <v>2.0512820512820513E-2</v>
      </c>
      <c r="Q267" s="3">
        <f t="shared" si="29"/>
        <v>0.75</v>
      </c>
      <c r="R267" s="4">
        <f t="shared" si="34"/>
        <v>0.5</v>
      </c>
      <c r="S267" s="3">
        <f t="shared" si="30"/>
        <v>1.5</v>
      </c>
      <c r="T267" s="4">
        <f t="shared" si="31"/>
        <v>1</v>
      </c>
      <c r="U267" s="3">
        <f t="shared" si="32"/>
        <v>0.15384615384615385</v>
      </c>
      <c r="V267" s="5">
        <f t="shared" si="33"/>
        <v>32.333333333333336</v>
      </c>
    </row>
    <row r="268" spans="1:22" x14ac:dyDescent="0.3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t="s">
        <v>26</v>
      </c>
      <c r="G268" t="s">
        <v>23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  <c r="P268" s="2">
        <f t="shared" si="28"/>
        <v>0</v>
      </c>
      <c r="Q268" s="3">
        <f t="shared" si="29"/>
        <v>0</v>
      </c>
      <c r="R268" s="4">
        <f t="shared" si="34"/>
        <v>0</v>
      </c>
      <c r="S268" s="3">
        <f t="shared" si="30"/>
        <v>0</v>
      </c>
      <c r="T268" s="4">
        <f t="shared" si="31"/>
        <v>1</v>
      </c>
      <c r="U268" s="3">
        <f t="shared" si="32"/>
        <v>0</v>
      </c>
      <c r="V268" s="5">
        <f t="shared" si="33"/>
        <v>0</v>
      </c>
    </row>
    <row r="269" spans="1:22" x14ac:dyDescent="0.3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t="s">
        <v>26</v>
      </c>
      <c r="G269" t="s">
        <v>23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  <c r="P269" s="2">
        <f t="shared" si="28"/>
        <v>2.3078698361412419E-2</v>
      </c>
      <c r="Q269" s="3">
        <f t="shared" si="29"/>
        <v>0.18000000699999999</v>
      </c>
      <c r="R269" s="4">
        <f t="shared" si="34"/>
        <v>1</v>
      </c>
      <c r="S269" s="3">
        <f t="shared" si="30"/>
        <v>0.18000000699999999</v>
      </c>
      <c r="T269" s="4">
        <f t="shared" si="31"/>
        <v>1</v>
      </c>
      <c r="U269" s="3">
        <f t="shared" si="32"/>
        <v>4.154165866605123E-2</v>
      </c>
      <c r="V269" s="5">
        <f t="shared" si="33"/>
        <v>276.77776697530908</v>
      </c>
    </row>
    <row r="270" spans="1:22" x14ac:dyDescent="0.3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t="s">
        <v>24</v>
      </c>
      <c r="G270" t="s">
        <v>23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  <c r="P270" s="2">
        <f t="shared" si="28"/>
        <v>0</v>
      </c>
      <c r="Q270" s="3">
        <f t="shared" si="29"/>
        <v>0</v>
      </c>
      <c r="R270" s="4">
        <f t="shared" si="34"/>
        <v>0</v>
      </c>
      <c r="S270" s="3">
        <f t="shared" si="30"/>
        <v>0</v>
      </c>
      <c r="T270" s="4">
        <f t="shared" si="31"/>
        <v>0</v>
      </c>
      <c r="U270" s="3">
        <f t="shared" si="32"/>
        <v>0</v>
      </c>
      <c r="V270" s="5">
        <f t="shared" si="33"/>
        <v>0</v>
      </c>
    </row>
    <row r="271" spans="1:22" x14ac:dyDescent="0.3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t="s">
        <v>24</v>
      </c>
      <c r="G271" t="s">
        <v>23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  <c r="P271" s="2">
        <f t="shared" si="28"/>
        <v>0</v>
      </c>
      <c r="Q271" s="3">
        <f t="shared" si="29"/>
        <v>0</v>
      </c>
      <c r="R271" s="4">
        <f t="shared" si="34"/>
        <v>0</v>
      </c>
      <c r="S271" s="3">
        <f t="shared" si="30"/>
        <v>0</v>
      </c>
      <c r="T271" s="4">
        <f t="shared" si="31"/>
        <v>0</v>
      </c>
      <c r="U271" s="3">
        <f t="shared" si="32"/>
        <v>0</v>
      </c>
      <c r="V271" s="5">
        <f t="shared" si="33"/>
        <v>0</v>
      </c>
    </row>
    <row r="272" spans="1:22" x14ac:dyDescent="0.3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t="s">
        <v>22</v>
      </c>
      <c r="G272" t="s">
        <v>23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  <c r="P272" s="2">
        <f t="shared" si="28"/>
        <v>0</v>
      </c>
      <c r="Q272" s="3">
        <f t="shared" si="29"/>
        <v>0</v>
      </c>
      <c r="R272" s="4">
        <f t="shared" si="34"/>
        <v>0</v>
      </c>
      <c r="S272" s="3">
        <f t="shared" si="30"/>
        <v>0</v>
      </c>
      <c r="T272" s="4">
        <f t="shared" si="31"/>
        <v>1</v>
      </c>
      <c r="U272" s="3">
        <f t="shared" si="32"/>
        <v>0</v>
      </c>
      <c r="V272" s="5">
        <f t="shared" si="33"/>
        <v>0</v>
      </c>
    </row>
    <row r="273" spans="1:22" x14ac:dyDescent="0.3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t="s">
        <v>25</v>
      </c>
      <c r="G273" t="s">
        <v>23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  <c r="P273" s="2">
        <f t="shared" si="28"/>
        <v>2.6567481402763018E-2</v>
      </c>
      <c r="Q273" s="3">
        <f t="shared" si="29"/>
        <v>1.796666622</v>
      </c>
      <c r="R273" s="4">
        <f t="shared" si="34"/>
        <v>0.33333333333333331</v>
      </c>
      <c r="S273" s="3">
        <f t="shared" si="30"/>
        <v>5.3899998660000001</v>
      </c>
      <c r="T273" s="4">
        <f t="shared" si="31"/>
        <v>1</v>
      </c>
      <c r="U273" s="3">
        <f t="shared" si="32"/>
        <v>0.47732907066950053</v>
      </c>
      <c r="V273" s="5">
        <f t="shared" si="33"/>
        <v>8.2764380784865867</v>
      </c>
    </row>
    <row r="274" spans="1:22" x14ac:dyDescent="0.3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t="s">
        <v>22</v>
      </c>
      <c r="G274" t="s">
        <v>23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  <c r="P274" s="2">
        <f t="shared" si="28"/>
        <v>3.1424306701233404E-2</v>
      </c>
      <c r="Q274" s="3">
        <f t="shared" si="29"/>
        <v>1.4449999630000001</v>
      </c>
      <c r="R274" s="4">
        <f t="shared" si="34"/>
        <v>0</v>
      </c>
      <c r="S274" s="3">
        <f t="shared" si="30"/>
        <v>0</v>
      </c>
      <c r="T274" s="4">
        <f t="shared" si="31"/>
        <v>0</v>
      </c>
      <c r="U274" s="3">
        <f t="shared" si="32"/>
        <v>0.45408122020582919</v>
      </c>
      <c r="V274" s="5">
        <f t="shared" si="33"/>
        <v>-1</v>
      </c>
    </row>
    <row r="275" spans="1:22" x14ac:dyDescent="0.3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t="s">
        <v>22</v>
      </c>
      <c r="G275" t="s">
        <v>23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  <c r="P275" s="2">
        <f t="shared" si="28"/>
        <v>0</v>
      </c>
      <c r="Q275" s="3">
        <f t="shared" si="29"/>
        <v>0</v>
      </c>
      <c r="R275" s="4">
        <f t="shared" si="34"/>
        <v>0</v>
      </c>
      <c r="S275" s="3">
        <f t="shared" si="30"/>
        <v>0</v>
      </c>
      <c r="T275" s="4">
        <f t="shared" si="31"/>
        <v>1</v>
      </c>
      <c r="U275" s="3">
        <f t="shared" si="32"/>
        <v>0</v>
      </c>
      <c r="V275" s="5">
        <f t="shared" si="33"/>
        <v>0</v>
      </c>
    </row>
    <row r="276" spans="1:22" x14ac:dyDescent="0.3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t="s">
        <v>22</v>
      </c>
      <c r="G276" t="s">
        <v>23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  <c r="P276" s="2">
        <f t="shared" si="28"/>
        <v>0</v>
      </c>
      <c r="Q276" s="3">
        <f t="shared" si="29"/>
        <v>0</v>
      </c>
      <c r="R276" s="4">
        <f t="shared" si="34"/>
        <v>0</v>
      </c>
      <c r="S276" s="3">
        <f t="shared" si="30"/>
        <v>0</v>
      </c>
      <c r="T276" s="4">
        <f t="shared" si="31"/>
        <v>1</v>
      </c>
      <c r="U276" s="3">
        <f t="shared" si="32"/>
        <v>0</v>
      </c>
      <c r="V276" s="5">
        <f t="shared" si="33"/>
        <v>0</v>
      </c>
    </row>
    <row r="277" spans="1:22" x14ac:dyDescent="0.3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t="s">
        <v>22</v>
      </c>
      <c r="G277" t="s">
        <v>23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  <c r="P277" s="2">
        <f t="shared" si="28"/>
        <v>3.4686090877558098E-2</v>
      </c>
      <c r="Q277" s="3">
        <f t="shared" si="29"/>
        <v>0.99000001000000004</v>
      </c>
      <c r="R277" s="4">
        <f t="shared" si="34"/>
        <v>1</v>
      </c>
      <c r="S277" s="3">
        <f t="shared" si="30"/>
        <v>0.99000001000000004</v>
      </c>
      <c r="T277" s="4">
        <f t="shared" si="31"/>
        <v>1</v>
      </c>
      <c r="U277" s="3">
        <f t="shared" si="32"/>
        <v>0.34339230315643426</v>
      </c>
      <c r="V277" s="5">
        <f t="shared" si="33"/>
        <v>49.505049994898478</v>
      </c>
    </row>
    <row r="278" spans="1:22" x14ac:dyDescent="0.3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t="s">
        <v>22</v>
      </c>
      <c r="G278" t="s">
        <v>27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  <c r="P278" s="2">
        <f t="shared" si="28"/>
        <v>2.5068939583855601E-2</v>
      </c>
      <c r="Q278" s="3">
        <f t="shared" si="29"/>
        <v>1.2799999710000001</v>
      </c>
      <c r="R278" s="4">
        <f t="shared" si="34"/>
        <v>0</v>
      </c>
      <c r="S278" s="3">
        <f t="shared" si="30"/>
        <v>0</v>
      </c>
      <c r="T278" s="4">
        <f t="shared" si="31"/>
        <v>0</v>
      </c>
      <c r="U278" s="3">
        <f t="shared" si="32"/>
        <v>0.32088241940335926</v>
      </c>
      <c r="V278" s="5">
        <f t="shared" si="33"/>
        <v>-1</v>
      </c>
    </row>
    <row r="279" spans="1:22" x14ac:dyDescent="0.3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t="s">
        <v>25</v>
      </c>
      <c r="G279" t="s">
        <v>23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  <c r="P279" s="2">
        <f t="shared" si="28"/>
        <v>2.0405040044891087E-2</v>
      </c>
      <c r="Q279" s="3">
        <f t="shared" si="29"/>
        <v>1.3199999927499999</v>
      </c>
      <c r="R279" s="4">
        <f t="shared" si="34"/>
        <v>0.25</v>
      </c>
      <c r="S279" s="3">
        <f t="shared" si="30"/>
        <v>5.2799999709999996</v>
      </c>
      <c r="T279" s="4">
        <f t="shared" si="31"/>
        <v>1</v>
      </c>
      <c r="U279" s="3">
        <f t="shared" si="32"/>
        <v>0.26934652711319695</v>
      </c>
      <c r="V279" s="5">
        <f t="shared" si="33"/>
        <v>8.4696970217085639</v>
      </c>
    </row>
    <row r="280" spans="1:22" x14ac:dyDescent="0.3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t="s">
        <v>25</v>
      </c>
      <c r="G280" t="s">
        <v>23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  <c r="P280" s="2">
        <f t="shared" si="28"/>
        <v>3.2819166393173609E-2</v>
      </c>
      <c r="Q280" s="3">
        <f t="shared" si="29"/>
        <v>1.3799999949999999</v>
      </c>
      <c r="R280" s="4">
        <f t="shared" si="34"/>
        <v>0</v>
      </c>
      <c r="S280" s="3">
        <f t="shared" si="30"/>
        <v>0</v>
      </c>
      <c r="T280" s="4">
        <f t="shared" si="31"/>
        <v>0</v>
      </c>
      <c r="U280" s="3">
        <f t="shared" si="32"/>
        <v>0.4529044945848375</v>
      </c>
      <c r="V280" s="5">
        <f t="shared" si="33"/>
        <v>-1</v>
      </c>
    </row>
    <row r="281" spans="1:22" x14ac:dyDescent="0.3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t="s">
        <v>24</v>
      </c>
      <c r="G281" t="s">
        <v>23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  <c r="P281" s="2">
        <f t="shared" si="28"/>
        <v>3.3014196104324864E-2</v>
      </c>
      <c r="Q281" s="3">
        <f t="shared" si="29"/>
        <v>1.0499999520000001</v>
      </c>
      <c r="R281" s="4">
        <f t="shared" si="34"/>
        <v>1</v>
      </c>
      <c r="S281" s="3">
        <f t="shared" si="30"/>
        <v>1.0499999520000001</v>
      </c>
      <c r="T281" s="4">
        <f t="shared" si="31"/>
        <v>1</v>
      </c>
      <c r="U281" s="3">
        <f t="shared" si="32"/>
        <v>0.34664904324859691</v>
      </c>
      <c r="V281" s="5">
        <f t="shared" si="33"/>
        <v>46.619049795918464</v>
      </c>
    </row>
    <row r="282" spans="1:22" x14ac:dyDescent="0.3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t="s">
        <v>26</v>
      </c>
      <c r="G282" t="s">
        <v>23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  <c r="P282" s="2">
        <f t="shared" si="28"/>
        <v>2.8653295128939826E-2</v>
      </c>
      <c r="Q282" s="3">
        <f t="shared" si="29"/>
        <v>1.3400000329999999</v>
      </c>
      <c r="R282" s="4">
        <f t="shared" si="34"/>
        <v>1</v>
      </c>
      <c r="S282" s="3">
        <f t="shared" si="30"/>
        <v>1.3400000329999999</v>
      </c>
      <c r="T282" s="4">
        <f t="shared" si="31"/>
        <v>1</v>
      </c>
      <c r="U282" s="3">
        <f t="shared" si="32"/>
        <v>0.38395416418338107</v>
      </c>
      <c r="V282" s="5">
        <f t="shared" si="33"/>
        <v>36.313431916908023</v>
      </c>
    </row>
    <row r="283" spans="1:22" x14ac:dyDescent="0.3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t="s">
        <v>26</v>
      </c>
      <c r="G283" t="s">
        <v>23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  <c r="P283" s="2">
        <f t="shared" si="28"/>
        <v>0</v>
      </c>
      <c r="Q283" s="3">
        <f t="shared" si="29"/>
        <v>0</v>
      </c>
      <c r="R283" s="4">
        <f t="shared" si="34"/>
        <v>0</v>
      </c>
      <c r="S283" s="3">
        <f t="shared" si="30"/>
        <v>0</v>
      </c>
      <c r="T283" s="4">
        <f t="shared" si="31"/>
        <v>0</v>
      </c>
      <c r="U283" s="3">
        <f t="shared" si="32"/>
        <v>0</v>
      </c>
      <c r="V283" s="5">
        <f t="shared" si="33"/>
        <v>0</v>
      </c>
    </row>
    <row r="284" spans="1:22" x14ac:dyDescent="0.3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t="s">
        <v>25</v>
      </c>
      <c r="G284" t="s">
        <v>23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  <c r="P284" s="2">
        <f t="shared" si="28"/>
        <v>3.5748940299269699E-2</v>
      </c>
      <c r="Q284" s="3">
        <f t="shared" si="29"/>
        <v>1.4899999757142857</v>
      </c>
      <c r="R284" s="4">
        <f t="shared" si="34"/>
        <v>0</v>
      </c>
      <c r="S284" s="3">
        <f t="shared" si="30"/>
        <v>0</v>
      </c>
      <c r="T284" s="4">
        <f t="shared" si="31"/>
        <v>0</v>
      </c>
      <c r="U284" s="3">
        <f t="shared" si="32"/>
        <v>0.53265920177723303</v>
      </c>
      <c r="V284" s="5">
        <f t="shared" si="33"/>
        <v>-1</v>
      </c>
    </row>
    <row r="285" spans="1:22" x14ac:dyDescent="0.3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t="s">
        <v>26</v>
      </c>
      <c r="G285" t="s">
        <v>23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  <c r="P285" s="2">
        <f t="shared" si="28"/>
        <v>2.5592465578133796E-2</v>
      </c>
      <c r="Q285" s="3">
        <f t="shared" si="29"/>
        <v>1.219999981</v>
      </c>
      <c r="R285" s="4">
        <f t="shared" si="34"/>
        <v>0</v>
      </c>
      <c r="S285" s="3">
        <f t="shared" si="30"/>
        <v>0</v>
      </c>
      <c r="T285" s="4">
        <f t="shared" si="31"/>
        <v>0</v>
      </c>
      <c r="U285" s="3">
        <f t="shared" si="32"/>
        <v>0.31222807519066387</v>
      </c>
      <c r="V285" s="5">
        <f t="shared" si="33"/>
        <v>-1</v>
      </c>
    </row>
    <row r="286" spans="1:22" x14ac:dyDescent="0.3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t="s">
        <v>26</v>
      </c>
      <c r="G286" t="s">
        <v>23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  <c r="P286" s="2">
        <f t="shared" si="28"/>
        <v>2.0190803089192872E-2</v>
      </c>
      <c r="Q286" s="3">
        <f t="shared" si="29"/>
        <v>1.6383332908333335</v>
      </c>
      <c r="R286" s="4">
        <f t="shared" si="34"/>
        <v>0</v>
      </c>
      <c r="S286" s="3">
        <f t="shared" si="30"/>
        <v>0</v>
      </c>
      <c r="T286" s="4">
        <f t="shared" si="31"/>
        <v>0</v>
      </c>
      <c r="U286" s="3">
        <f t="shared" si="32"/>
        <v>0.33079264869685193</v>
      </c>
      <c r="V286" s="5">
        <f t="shared" si="33"/>
        <v>-1</v>
      </c>
    </row>
    <row r="287" spans="1:22" x14ac:dyDescent="0.3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t="s">
        <v>26</v>
      </c>
      <c r="G287" t="s">
        <v>23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  <c r="P287" s="2">
        <f t="shared" si="28"/>
        <v>2.0947858874909544E-2</v>
      </c>
      <c r="Q287" s="3">
        <f t="shared" si="29"/>
        <v>1.7027272960606059</v>
      </c>
      <c r="R287" s="4">
        <f t="shared" si="34"/>
        <v>0</v>
      </c>
      <c r="S287" s="3">
        <f t="shared" si="30"/>
        <v>0</v>
      </c>
      <c r="T287" s="4">
        <f t="shared" si="31"/>
        <v>0</v>
      </c>
      <c r="U287" s="3">
        <f t="shared" si="32"/>
        <v>0.35668491100333899</v>
      </c>
      <c r="V287" s="5">
        <f t="shared" si="33"/>
        <v>-1</v>
      </c>
    </row>
    <row r="288" spans="1:22" x14ac:dyDescent="0.3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t="s">
        <v>25</v>
      </c>
      <c r="G288" t="s">
        <v>23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  <c r="P288" s="2">
        <f t="shared" si="28"/>
        <v>0</v>
      </c>
      <c r="Q288" s="3">
        <f t="shared" si="29"/>
        <v>0</v>
      </c>
      <c r="R288" s="4">
        <f t="shared" si="34"/>
        <v>0</v>
      </c>
      <c r="S288" s="3">
        <f t="shared" si="30"/>
        <v>0</v>
      </c>
      <c r="T288" s="4">
        <f t="shared" si="31"/>
        <v>1</v>
      </c>
      <c r="U288" s="3">
        <f t="shared" si="32"/>
        <v>0</v>
      </c>
      <c r="V288" s="5">
        <f t="shared" si="33"/>
        <v>0</v>
      </c>
    </row>
    <row r="289" spans="1:22" x14ac:dyDescent="0.3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t="s">
        <v>25</v>
      </c>
      <c r="G289" t="s">
        <v>23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  <c r="P289" s="2">
        <f t="shared" si="28"/>
        <v>1.6828642349278472E-2</v>
      </c>
      <c r="Q289" s="3">
        <f t="shared" si="29"/>
        <v>1.5074999630000001</v>
      </c>
      <c r="R289" s="4">
        <f t="shared" si="34"/>
        <v>0</v>
      </c>
      <c r="S289" s="3">
        <f t="shared" si="30"/>
        <v>0</v>
      </c>
      <c r="T289" s="4">
        <f t="shared" si="31"/>
        <v>0</v>
      </c>
      <c r="U289" s="3">
        <f t="shared" si="32"/>
        <v>0.25369177718877534</v>
      </c>
      <c r="V289" s="5">
        <f t="shared" si="33"/>
        <v>-1</v>
      </c>
    </row>
    <row r="290" spans="1:22" x14ac:dyDescent="0.3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t="s">
        <v>25</v>
      </c>
      <c r="G290" t="s">
        <v>23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  <c r="P290" s="2">
        <f t="shared" si="28"/>
        <v>0</v>
      </c>
      <c r="Q290" s="3">
        <f t="shared" si="29"/>
        <v>0</v>
      </c>
      <c r="R290" s="4">
        <f t="shared" si="34"/>
        <v>0</v>
      </c>
      <c r="S290" s="3">
        <f t="shared" si="30"/>
        <v>0</v>
      </c>
      <c r="T290" s="4">
        <f t="shared" si="31"/>
        <v>0</v>
      </c>
      <c r="U290" s="3">
        <f t="shared" si="32"/>
        <v>0</v>
      </c>
      <c r="V290" s="5">
        <f t="shared" si="33"/>
        <v>0</v>
      </c>
    </row>
    <row r="291" spans="1:22" x14ac:dyDescent="0.3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t="s">
        <v>24</v>
      </c>
      <c r="G291" t="s">
        <v>23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  <c r="P291" s="2">
        <f t="shared" si="28"/>
        <v>2.1159542953872196E-2</v>
      </c>
      <c r="Q291" s="3">
        <f t="shared" si="29"/>
        <v>1.8300000430000001</v>
      </c>
      <c r="R291" s="4">
        <f t="shared" si="34"/>
        <v>1</v>
      </c>
      <c r="S291" s="3">
        <f t="shared" si="30"/>
        <v>1.8300000430000001</v>
      </c>
      <c r="T291" s="4">
        <f t="shared" si="31"/>
        <v>1</v>
      </c>
      <c r="U291" s="3">
        <f t="shared" si="32"/>
        <v>0.38721964515446466</v>
      </c>
      <c r="V291" s="5">
        <f t="shared" si="33"/>
        <v>26.322403729582863</v>
      </c>
    </row>
    <row r="292" spans="1:22" x14ac:dyDescent="0.3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t="s">
        <v>22</v>
      </c>
      <c r="G292" t="s">
        <v>23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  <c r="P292" s="2">
        <f t="shared" si="28"/>
        <v>1.9197542714532539E-2</v>
      </c>
      <c r="Q292" s="3">
        <f t="shared" si="29"/>
        <v>0.959999979</v>
      </c>
      <c r="R292" s="4">
        <f t="shared" si="34"/>
        <v>0</v>
      </c>
      <c r="S292" s="3">
        <f t="shared" si="30"/>
        <v>0</v>
      </c>
      <c r="T292" s="4">
        <f t="shared" si="31"/>
        <v>0</v>
      </c>
      <c r="U292" s="3">
        <f t="shared" si="32"/>
        <v>0.18429640602802841</v>
      </c>
      <c r="V292" s="5">
        <f t="shared" si="33"/>
        <v>-1</v>
      </c>
    </row>
    <row r="293" spans="1:22" x14ac:dyDescent="0.3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t="s">
        <v>22</v>
      </c>
      <c r="G293" t="s">
        <v>23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  <c r="P293" s="2">
        <f t="shared" si="28"/>
        <v>2.2266755733689601E-2</v>
      </c>
      <c r="Q293" s="3">
        <f t="shared" si="29"/>
        <v>0.873333315</v>
      </c>
      <c r="R293" s="4">
        <f t="shared" si="34"/>
        <v>0</v>
      </c>
      <c r="S293" s="3">
        <f t="shared" si="30"/>
        <v>0</v>
      </c>
      <c r="T293" s="4">
        <f t="shared" si="31"/>
        <v>0</v>
      </c>
      <c r="U293" s="3">
        <f t="shared" si="32"/>
        <v>0.19446299599198397</v>
      </c>
      <c r="V293" s="5">
        <f t="shared" si="33"/>
        <v>-1</v>
      </c>
    </row>
    <row r="294" spans="1:22" x14ac:dyDescent="0.3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t="s">
        <v>25</v>
      </c>
      <c r="G294" t="s">
        <v>23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  <c r="P294" s="2">
        <f t="shared" si="28"/>
        <v>0</v>
      </c>
      <c r="Q294" s="3">
        <f t="shared" si="29"/>
        <v>0</v>
      </c>
      <c r="R294" s="4">
        <f t="shared" si="34"/>
        <v>0</v>
      </c>
      <c r="S294" s="3">
        <f t="shared" si="30"/>
        <v>0</v>
      </c>
      <c r="T294" s="4">
        <f t="shared" si="31"/>
        <v>1</v>
      </c>
      <c r="U294" s="3">
        <f t="shared" si="32"/>
        <v>0</v>
      </c>
      <c r="V294" s="5">
        <f t="shared" si="33"/>
        <v>0</v>
      </c>
    </row>
    <row r="295" spans="1:22" x14ac:dyDescent="0.3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t="s">
        <v>22</v>
      </c>
      <c r="G295" t="s">
        <v>23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  <c r="P295" s="2">
        <f t="shared" si="28"/>
        <v>2.1663778162911609E-2</v>
      </c>
      <c r="Q295" s="3">
        <f t="shared" si="29"/>
        <v>1.3600000139999999</v>
      </c>
      <c r="R295" s="4">
        <f t="shared" si="34"/>
        <v>0</v>
      </c>
      <c r="S295" s="3">
        <f t="shared" si="30"/>
        <v>0</v>
      </c>
      <c r="T295" s="4">
        <f t="shared" si="31"/>
        <v>0</v>
      </c>
      <c r="U295" s="3">
        <f t="shared" si="32"/>
        <v>0.29462738604852684</v>
      </c>
      <c r="V295" s="5">
        <f t="shared" si="33"/>
        <v>-1</v>
      </c>
    </row>
    <row r="296" spans="1:22" x14ac:dyDescent="0.3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t="s">
        <v>22</v>
      </c>
      <c r="G296" t="s">
        <v>23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  <c r="P296" s="2">
        <f t="shared" si="28"/>
        <v>0</v>
      </c>
      <c r="Q296" s="3">
        <f t="shared" si="29"/>
        <v>0</v>
      </c>
      <c r="R296" s="4">
        <f t="shared" si="34"/>
        <v>0</v>
      </c>
      <c r="S296" s="3">
        <f t="shared" si="30"/>
        <v>0</v>
      </c>
      <c r="T296" s="4">
        <f t="shared" si="31"/>
        <v>0</v>
      </c>
      <c r="U296" s="3">
        <f t="shared" si="32"/>
        <v>0</v>
      </c>
      <c r="V296" s="5">
        <f t="shared" si="33"/>
        <v>0</v>
      </c>
    </row>
    <row r="297" spans="1:22" x14ac:dyDescent="0.3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t="s">
        <v>22</v>
      </c>
      <c r="G297" t="s">
        <v>23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  <c r="P297" s="2">
        <f t="shared" si="28"/>
        <v>0</v>
      </c>
      <c r="Q297" s="3">
        <f t="shared" si="29"/>
        <v>0</v>
      </c>
      <c r="R297" s="4">
        <f t="shared" si="34"/>
        <v>0</v>
      </c>
      <c r="S297" s="3">
        <f t="shared" si="30"/>
        <v>0</v>
      </c>
      <c r="T297" s="4">
        <f t="shared" si="31"/>
        <v>0</v>
      </c>
      <c r="U297" s="3">
        <f t="shared" si="32"/>
        <v>0</v>
      </c>
      <c r="V297" s="5">
        <f t="shared" si="33"/>
        <v>0</v>
      </c>
    </row>
    <row r="298" spans="1:22" x14ac:dyDescent="0.3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t="s">
        <v>24</v>
      </c>
      <c r="G298" t="s">
        <v>23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  <c r="P298" s="2">
        <f t="shared" si="28"/>
        <v>2.7369141293191925E-2</v>
      </c>
      <c r="Q298" s="3">
        <f t="shared" si="29"/>
        <v>1.5125000477499999</v>
      </c>
      <c r="R298" s="4">
        <f t="shared" si="34"/>
        <v>0</v>
      </c>
      <c r="S298" s="3">
        <f t="shared" si="30"/>
        <v>0</v>
      </c>
      <c r="T298" s="4">
        <f t="shared" si="31"/>
        <v>0</v>
      </c>
      <c r="U298" s="3">
        <f t="shared" si="32"/>
        <v>0.41395827512829286</v>
      </c>
      <c r="V298" s="5">
        <f t="shared" si="33"/>
        <v>-1</v>
      </c>
    </row>
    <row r="299" spans="1:22" x14ac:dyDescent="0.3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t="s">
        <v>22</v>
      </c>
      <c r="G299" t="s">
        <v>23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  <c r="P299" s="2">
        <f t="shared" si="28"/>
        <v>2.1195796167093526E-2</v>
      </c>
      <c r="Q299" s="3">
        <f t="shared" si="29"/>
        <v>1.6566666958333334</v>
      </c>
      <c r="R299" s="4">
        <f t="shared" si="34"/>
        <v>0</v>
      </c>
      <c r="S299" s="3">
        <f t="shared" si="30"/>
        <v>0</v>
      </c>
      <c r="T299" s="4">
        <f t="shared" si="31"/>
        <v>0</v>
      </c>
      <c r="U299" s="3">
        <f t="shared" si="32"/>
        <v>0.35114369601695661</v>
      </c>
      <c r="V299" s="5">
        <f t="shared" si="33"/>
        <v>-1</v>
      </c>
    </row>
    <row r="300" spans="1:22" x14ac:dyDescent="0.3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t="s">
        <v>22</v>
      </c>
      <c r="G300" t="s">
        <v>23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  <c r="P300" s="2">
        <f t="shared" si="28"/>
        <v>2.5564550489987216E-2</v>
      </c>
      <c r="Q300" s="3">
        <f t="shared" si="29"/>
        <v>1.5099999903333332</v>
      </c>
      <c r="R300" s="4">
        <f t="shared" si="34"/>
        <v>0.33333333333333331</v>
      </c>
      <c r="S300" s="3">
        <f t="shared" si="30"/>
        <v>4.5299999709999996</v>
      </c>
      <c r="T300" s="4">
        <f t="shared" si="31"/>
        <v>1</v>
      </c>
      <c r="U300" s="3">
        <f t="shared" si="32"/>
        <v>0.3860247099275671</v>
      </c>
      <c r="V300" s="5">
        <f t="shared" si="33"/>
        <v>10.037527664478654</v>
      </c>
    </row>
    <row r="301" spans="1:22" x14ac:dyDescent="0.3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t="s">
        <v>22</v>
      </c>
      <c r="G301" t="s">
        <v>23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  <c r="P301" s="2">
        <f t="shared" si="28"/>
        <v>3.1426775612822123E-2</v>
      </c>
      <c r="Q301" s="3">
        <f t="shared" si="29"/>
        <v>1.3559999704000001</v>
      </c>
      <c r="R301" s="4">
        <f t="shared" si="34"/>
        <v>0</v>
      </c>
      <c r="S301" s="3">
        <f t="shared" si="30"/>
        <v>0</v>
      </c>
      <c r="T301" s="4">
        <f t="shared" si="31"/>
        <v>0</v>
      </c>
      <c r="U301" s="3">
        <f t="shared" si="32"/>
        <v>0.42614706800754243</v>
      </c>
      <c r="V301" s="5">
        <f t="shared" si="33"/>
        <v>-1</v>
      </c>
    </row>
    <row r="302" spans="1:22" x14ac:dyDescent="0.3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t="s">
        <v>24</v>
      </c>
      <c r="G302" t="s">
        <v>23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  <c r="P302" s="2">
        <f t="shared" si="28"/>
        <v>1.7473353136466887E-2</v>
      </c>
      <c r="Q302" s="3">
        <f t="shared" si="29"/>
        <v>1.5450000165</v>
      </c>
      <c r="R302" s="4">
        <f t="shared" si="34"/>
        <v>0.5</v>
      </c>
      <c r="S302" s="3">
        <f t="shared" si="30"/>
        <v>3.0900000329999999</v>
      </c>
      <c r="T302" s="4">
        <f t="shared" si="31"/>
        <v>1</v>
      </c>
      <c r="U302" s="3">
        <f t="shared" si="32"/>
        <v>0.26996330884151665</v>
      </c>
      <c r="V302" s="5">
        <f t="shared" si="33"/>
        <v>15.181229600653534</v>
      </c>
    </row>
    <row r="303" spans="1:22" x14ac:dyDescent="0.3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t="s">
        <v>24</v>
      </c>
      <c r="G303" t="s">
        <v>23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  <c r="P303" s="2">
        <f t="shared" si="28"/>
        <v>0</v>
      </c>
      <c r="Q303" s="3">
        <f t="shared" si="29"/>
        <v>0</v>
      </c>
      <c r="R303" s="4">
        <f t="shared" si="34"/>
        <v>0</v>
      </c>
      <c r="S303" s="3">
        <f t="shared" si="30"/>
        <v>0</v>
      </c>
      <c r="T303" s="4">
        <f t="shared" si="31"/>
        <v>0</v>
      </c>
      <c r="U303" s="3">
        <f t="shared" si="32"/>
        <v>0</v>
      </c>
      <c r="V303" s="5">
        <f t="shared" si="33"/>
        <v>0</v>
      </c>
    </row>
    <row r="304" spans="1:22" x14ac:dyDescent="0.3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t="s">
        <v>22</v>
      </c>
      <c r="G304" t="s">
        <v>23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  <c r="P304" s="2">
        <f t="shared" si="28"/>
        <v>0</v>
      </c>
      <c r="Q304" s="3">
        <f t="shared" si="29"/>
        <v>0</v>
      </c>
      <c r="R304" s="4">
        <f t="shared" si="34"/>
        <v>0</v>
      </c>
      <c r="S304" s="3">
        <f t="shared" si="30"/>
        <v>0</v>
      </c>
      <c r="T304" s="4">
        <f t="shared" si="31"/>
        <v>0</v>
      </c>
      <c r="U304" s="3">
        <f t="shared" si="32"/>
        <v>0</v>
      </c>
      <c r="V304" s="5">
        <f t="shared" si="33"/>
        <v>0</v>
      </c>
    </row>
    <row r="305" spans="1:22" x14ac:dyDescent="0.3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t="s">
        <v>24</v>
      </c>
      <c r="G305" t="s">
        <v>23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  <c r="P305" s="2">
        <f t="shared" si="28"/>
        <v>0</v>
      </c>
      <c r="Q305" s="3">
        <f t="shared" si="29"/>
        <v>0</v>
      </c>
      <c r="R305" s="4">
        <f t="shared" si="34"/>
        <v>0</v>
      </c>
      <c r="S305" s="3">
        <f t="shared" si="30"/>
        <v>0</v>
      </c>
      <c r="T305" s="4">
        <f t="shared" si="31"/>
        <v>0</v>
      </c>
      <c r="U305" s="3">
        <f t="shared" si="32"/>
        <v>0</v>
      </c>
      <c r="V305" s="5">
        <f t="shared" si="33"/>
        <v>0</v>
      </c>
    </row>
    <row r="306" spans="1:22" x14ac:dyDescent="0.3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t="s">
        <v>22</v>
      </c>
      <c r="G306" t="s">
        <v>23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  <c r="P306" s="2">
        <f t="shared" si="28"/>
        <v>2.1303792074989347E-2</v>
      </c>
      <c r="Q306" s="3">
        <f t="shared" si="29"/>
        <v>1.5700000525</v>
      </c>
      <c r="R306" s="4">
        <f t="shared" si="34"/>
        <v>0</v>
      </c>
      <c r="S306" s="3">
        <f t="shared" si="30"/>
        <v>0</v>
      </c>
      <c r="T306" s="4">
        <f t="shared" si="31"/>
        <v>0</v>
      </c>
      <c r="U306" s="3">
        <f t="shared" si="32"/>
        <v>0.33446954676182361</v>
      </c>
      <c r="V306" s="5">
        <f t="shared" si="33"/>
        <v>-1</v>
      </c>
    </row>
    <row r="307" spans="1:22" x14ac:dyDescent="0.3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t="s">
        <v>22</v>
      </c>
      <c r="G307" t="s">
        <v>23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  <c r="P307" s="2">
        <f t="shared" si="28"/>
        <v>3.3418736771750029E-2</v>
      </c>
      <c r="Q307" s="3">
        <f t="shared" si="29"/>
        <v>1.2566667</v>
      </c>
      <c r="R307" s="4">
        <f t="shared" si="34"/>
        <v>0.16666666666666666</v>
      </c>
      <c r="S307" s="3">
        <f t="shared" si="30"/>
        <v>7.5400001999999997</v>
      </c>
      <c r="T307" s="4">
        <f t="shared" si="31"/>
        <v>0.5</v>
      </c>
      <c r="U307" s="3">
        <f t="shared" si="32"/>
        <v>0.41996213657123754</v>
      </c>
      <c r="V307" s="5">
        <f t="shared" si="33"/>
        <v>5.6312995588514703</v>
      </c>
    </row>
    <row r="308" spans="1:22" x14ac:dyDescent="0.3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t="s">
        <v>25</v>
      </c>
      <c r="G308" t="s">
        <v>27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  <c r="P308" s="2">
        <f t="shared" si="28"/>
        <v>0</v>
      </c>
      <c r="Q308" s="3">
        <f t="shared" si="29"/>
        <v>0</v>
      </c>
      <c r="R308" s="4">
        <f t="shared" si="34"/>
        <v>0</v>
      </c>
      <c r="S308" s="3">
        <f t="shared" si="30"/>
        <v>0</v>
      </c>
      <c r="T308" s="4">
        <f t="shared" si="31"/>
        <v>0</v>
      </c>
      <c r="U308" s="3">
        <f t="shared" si="32"/>
        <v>0</v>
      </c>
      <c r="V308" s="5">
        <f t="shared" si="33"/>
        <v>0</v>
      </c>
    </row>
    <row r="309" spans="1:22" x14ac:dyDescent="0.3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t="s">
        <v>25</v>
      </c>
      <c r="G309" t="s">
        <v>27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  <c r="P309" s="2">
        <f t="shared" si="28"/>
        <v>1.2266928361138371E-2</v>
      </c>
      <c r="Q309" s="3">
        <f t="shared" si="29"/>
        <v>0.99000001000000004</v>
      </c>
      <c r="R309" s="4">
        <f t="shared" si="34"/>
        <v>0</v>
      </c>
      <c r="S309" s="3">
        <f t="shared" si="30"/>
        <v>0</v>
      </c>
      <c r="T309" s="4">
        <f t="shared" si="31"/>
        <v>0</v>
      </c>
      <c r="U309" s="3">
        <f t="shared" si="32"/>
        <v>0.12144259200196272</v>
      </c>
      <c r="V309" s="5">
        <f t="shared" si="33"/>
        <v>-1</v>
      </c>
    </row>
    <row r="310" spans="1:22" x14ac:dyDescent="0.3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t="s">
        <v>25</v>
      </c>
      <c r="G310" t="s">
        <v>27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  <c r="P310" s="2">
        <f t="shared" si="28"/>
        <v>2.5488986074964446E-2</v>
      </c>
      <c r="Q310" s="3">
        <f t="shared" si="29"/>
        <v>1.7973684263157894</v>
      </c>
      <c r="R310" s="4">
        <f t="shared" si="34"/>
        <v>0</v>
      </c>
      <c r="S310" s="3">
        <f t="shared" si="30"/>
        <v>0</v>
      </c>
      <c r="T310" s="4">
        <f t="shared" si="31"/>
        <v>0</v>
      </c>
      <c r="U310" s="3">
        <f t="shared" si="32"/>
        <v>0.45813098789943923</v>
      </c>
      <c r="V310" s="5">
        <f t="shared" si="33"/>
        <v>-1</v>
      </c>
    </row>
    <row r="311" spans="1:22" x14ac:dyDescent="0.3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t="s">
        <v>25</v>
      </c>
      <c r="G311" t="s">
        <v>27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  <c r="P311" s="2">
        <f t="shared" si="28"/>
        <v>2.9855202268995368E-2</v>
      </c>
      <c r="Q311" s="3">
        <f t="shared" si="29"/>
        <v>1.5450000165</v>
      </c>
      <c r="R311" s="4">
        <f t="shared" si="34"/>
        <v>0</v>
      </c>
      <c r="S311" s="3">
        <f t="shared" si="30"/>
        <v>0</v>
      </c>
      <c r="T311" s="4">
        <f t="shared" si="31"/>
        <v>0</v>
      </c>
      <c r="U311" s="3">
        <f t="shared" si="32"/>
        <v>0.46126287998208687</v>
      </c>
      <c r="V311" s="5">
        <f t="shared" si="33"/>
        <v>-1</v>
      </c>
    </row>
    <row r="312" spans="1:22" x14ac:dyDescent="0.3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t="s">
        <v>25</v>
      </c>
      <c r="G312" t="s">
        <v>27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  <c r="P312" s="2">
        <f t="shared" si="28"/>
        <v>3.3582402820921835E-2</v>
      </c>
      <c r="Q312" s="3">
        <f t="shared" si="29"/>
        <v>0.98999997974999998</v>
      </c>
      <c r="R312" s="4">
        <f t="shared" si="34"/>
        <v>0</v>
      </c>
      <c r="S312" s="3">
        <f t="shared" si="30"/>
        <v>0</v>
      </c>
      <c r="T312" s="4">
        <f t="shared" si="31"/>
        <v>0</v>
      </c>
      <c r="U312" s="3">
        <f t="shared" si="32"/>
        <v>0.33246578112668956</v>
      </c>
      <c r="V312" s="5">
        <f t="shared" si="33"/>
        <v>-1</v>
      </c>
    </row>
    <row r="313" spans="1:22" x14ac:dyDescent="0.3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t="s">
        <v>25</v>
      </c>
      <c r="G313" t="s">
        <v>23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  <c r="P313" s="2">
        <f t="shared" si="28"/>
        <v>1.9821605550049554E-2</v>
      </c>
      <c r="Q313" s="3">
        <f t="shared" si="29"/>
        <v>1.3250000475000001</v>
      </c>
      <c r="R313" s="4">
        <f t="shared" si="34"/>
        <v>0.5</v>
      </c>
      <c r="S313" s="3">
        <f t="shared" si="30"/>
        <v>2.6500000950000002</v>
      </c>
      <c r="T313" s="4">
        <f t="shared" si="31"/>
        <v>1</v>
      </c>
      <c r="U313" s="3">
        <f t="shared" si="32"/>
        <v>0.26263628295341923</v>
      </c>
      <c r="V313" s="5">
        <f t="shared" si="33"/>
        <v>17.867923851904614</v>
      </c>
    </row>
    <row r="314" spans="1:22" x14ac:dyDescent="0.3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t="s">
        <v>22</v>
      </c>
      <c r="G314" t="s">
        <v>23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  <c r="P314" s="2">
        <f t="shared" si="28"/>
        <v>0</v>
      </c>
      <c r="Q314" s="3">
        <f t="shared" si="29"/>
        <v>0</v>
      </c>
      <c r="R314" s="4">
        <f t="shared" si="34"/>
        <v>0</v>
      </c>
      <c r="S314" s="3">
        <f t="shared" si="30"/>
        <v>0</v>
      </c>
      <c r="T314" s="4">
        <f t="shared" si="31"/>
        <v>1</v>
      </c>
      <c r="U314" s="3">
        <f t="shared" si="32"/>
        <v>0</v>
      </c>
      <c r="V314" s="5">
        <f t="shared" si="33"/>
        <v>0</v>
      </c>
    </row>
    <row r="315" spans="1:22" x14ac:dyDescent="0.3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t="s">
        <v>25</v>
      </c>
      <c r="G315" t="s">
        <v>27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  <c r="P315" s="2">
        <f t="shared" si="28"/>
        <v>2.0671407309409626E-2</v>
      </c>
      <c r="Q315" s="3">
        <f t="shared" si="29"/>
        <v>1.6359999655999999</v>
      </c>
      <c r="R315" s="4">
        <f t="shared" si="34"/>
        <v>0</v>
      </c>
      <c r="S315" s="3">
        <f t="shared" si="30"/>
        <v>0</v>
      </c>
      <c r="T315" s="4">
        <f t="shared" si="31"/>
        <v>0</v>
      </c>
      <c r="U315" s="3">
        <f t="shared" si="32"/>
        <v>0.33818421647097729</v>
      </c>
      <c r="V315" s="5">
        <f t="shared" si="33"/>
        <v>-1</v>
      </c>
    </row>
    <row r="316" spans="1:22" x14ac:dyDescent="0.3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t="s">
        <v>22</v>
      </c>
      <c r="G316" t="s">
        <v>23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  <c r="P316" s="2">
        <f t="shared" si="28"/>
        <v>0</v>
      </c>
      <c r="Q316" s="3">
        <f t="shared" si="29"/>
        <v>0</v>
      </c>
      <c r="R316" s="4">
        <f t="shared" si="34"/>
        <v>0</v>
      </c>
      <c r="S316" s="3">
        <f t="shared" si="30"/>
        <v>0</v>
      </c>
      <c r="T316" s="4">
        <f t="shared" si="31"/>
        <v>0</v>
      </c>
      <c r="U316" s="3">
        <f t="shared" si="32"/>
        <v>0</v>
      </c>
      <c r="V316" s="5">
        <f t="shared" si="33"/>
        <v>0</v>
      </c>
    </row>
    <row r="317" spans="1:22" x14ac:dyDescent="0.3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t="s">
        <v>25</v>
      </c>
      <c r="G317" t="s">
        <v>23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4.1300001139999996</v>
      </c>
      <c r="N317">
        <v>1</v>
      </c>
      <c r="O317">
        <v>1</v>
      </c>
      <c r="P317" s="2">
        <f t="shared" si="28"/>
        <v>4.1088854648176687E-2</v>
      </c>
      <c r="Q317" s="3">
        <f t="shared" si="29"/>
        <v>1.0325000284999999</v>
      </c>
      <c r="R317" s="4">
        <f t="shared" si="34"/>
        <v>0.25</v>
      </c>
      <c r="S317" s="3">
        <f t="shared" si="30"/>
        <v>4.1300001139999996</v>
      </c>
      <c r="T317" s="4">
        <f t="shared" si="31"/>
        <v>1</v>
      </c>
      <c r="U317" s="3">
        <f t="shared" si="32"/>
        <v>0.4242424359527478</v>
      </c>
      <c r="V317" s="5">
        <f t="shared" si="33"/>
        <v>11.106537196090743</v>
      </c>
    </row>
    <row r="318" spans="1:22" x14ac:dyDescent="0.3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t="s">
        <v>22</v>
      </c>
      <c r="G318" t="s">
        <v>23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  <c r="P318" s="2">
        <f t="shared" si="28"/>
        <v>0</v>
      </c>
      <c r="Q318" s="3">
        <f t="shared" si="29"/>
        <v>0</v>
      </c>
      <c r="R318" s="4">
        <f t="shared" si="34"/>
        <v>0</v>
      </c>
      <c r="S318" s="3">
        <f t="shared" si="30"/>
        <v>0</v>
      </c>
      <c r="T318" s="4">
        <f t="shared" si="31"/>
        <v>1</v>
      </c>
      <c r="U318" s="3">
        <f t="shared" si="32"/>
        <v>0</v>
      </c>
      <c r="V318" s="5">
        <f t="shared" si="33"/>
        <v>0</v>
      </c>
    </row>
    <row r="319" spans="1:22" x14ac:dyDescent="0.3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t="s">
        <v>25</v>
      </c>
      <c r="G319" t="s">
        <v>27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  <c r="P319" s="2">
        <f t="shared" si="28"/>
        <v>3.7209302325581395E-2</v>
      </c>
      <c r="Q319" s="3">
        <f t="shared" si="29"/>
        <v>1.3474999665</v>
      </c>
      <c r="R319" s="4">
        <f t="shared" si="34"/>
        <v>0</v>
      </c>
      <c r="S319" s="3">
        <f t="shared" si="30"/>
        <v>0</v>
      </c>
      <c r="T319" s="4">
        <f t="shared" si="31"/>
        <v>0</v>
      </c>
      <c r="U319" s="3">
        <f t="shared" si="32"/>
        <v>0.50139533637209299</v>
      </c>
      <c r="V319" s="5">
        <f t="shared" si="33"/>
        <v>-1</v>
      </c>
    </row>
    <row r="320" spans="1:22" x14ac:dyDescent="0.3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t="s">
        <v>22</v>
      </c>
      <c r="G320" t="s">
        <v>23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  <c r="P320" s="2">
        <f t="shared" si="28"/>
        <v>1.3107877834578582E-2</v>
      </c>
      <c r="Q320" s="3">
        <f t="shared" si="29"/>
        <v>0.72000002900000004</v>
      </c>
      <c r="R320" s="4">
        <f t="shared" si="34"/>
        <v>1</v>
      </c>
      <c r="S320" s="3">
        <f t="shared" si="30"/>
        <v>0.72000002900000004</v>
      </c>
      <c r="T320" s="4">
        <f t="shared" si="31"/>
        <v>1</v>
      </c>
      <c r="U320" s="3">
        <f t="shared" si="32"/>
        <v>9.4376724210250368E-2</v>
      </c>
      <c r="V320" s="5">
        <f t="shared" si="33"/>
        <v>68.444441647376649</v>
      </c>
    </row>
    <row r="321" spans="1:22" x14ac:dyDescent="0.3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t="s">
        <v>22</v>
      </c>
      <c r="G321" t="s">
        <v>23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  <c r="P321" s="2">
        <f t="shared" si="28"/>
        <v>0</v>
      </c>
      <c r="Q321" s="3">
        <f t="shared" si="29"/>
        <v>0</v>
      </c>
      <c r="R321" s="4">
        <f t="shared" si="34"/>
        <v>0</v>
      </c>
      <c r="S321" s="3">
        <f t="shared" si="30"/>
        <v>0</v>
      </c>
      <c r="T321" s="4">
        <f t="shared" si="31"/>
        <v>0</v>
      </c>
      <c r="U321" s="3">
        <f t="shared" si="32"/>
        <v>0</v>
      </c>
      <c r="V321" s="5">
        <f t="shared" si="33"/>
        <v>0</v>
      </c>
    </row>
    <row r="322" spans="1:22" x14ac:dyDescent="0.3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t="s">
        <v>24</v>
      </c>
      <c r="G322" t="s">
        <v>23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  <c r="P322" s="2">
        <f t="shared" ref="P322:P385" si="35">IF(K322&gt;0, (L322/K322)*100, 0)</f>
        <v>0</v>
      </c>
      <c r="Q322" s="3">
        <f t="shared" ref="Q322:Q385" si="36">IF(L322&gt;0, M322/L322, 0)</f>
        <v>0</v>
      </c>
      <c r="R322" s="4">
        <f t="shared" si="34"/>
        <v>0</v>
      </c>
      <c r="S322" s="3">
        <f t="shared" ref="S322:S385" si="37">IF(O322&gt;0, M322/O322, 0)</f>
        <v>0</v>
      </c>
      <c r="T322" s="4">
        <f t="shared" ref="T322:T385" si="38">IF(N322&gt;0, O322/N322, 0)</f>
        <v>0</v>
      </c>
      <c r="U322" s="3">
        <f t="shared" ref="U322:U385" si="39">IF(K322&gt;0, (M322/K322)*1000, 0)</f>
        <v>0</v>
      </c>
      <c r="V322" s="5">
        <f t="shared" ref="V322:V385" si="40">IF(M322&gt;0, ((O322*50)-M322)/M322, 0)</f>
        <v>0</v>
      </c>
    </row>
    <row r="323" spans="1:22" x14ac:dyDescent="0.3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t="s">
        <v>22</v>
      </c>
      <c r="G323" t="s">
        <v>23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  <c r="P323" s="2">
        <f t="shared" si="35"/>
        <v>1.3417415805715819E-2</v>
      </c>
      <c r="Q323" s="3">
        <f t="shared" si="36"/>
        <v>1.6799999480000001</v>
      </c>
      <c r="R323" s="4">
        <f t="shared" ref="R323:R386" si="41">IF(L323&gt;0, O323/L323, 0)</f>
        <v>1</v>
      </c>
      <c r="S323" s="3">
        <f t="shared" si="37"/>
        <v>1.6799999480000001</v>
      </c>
      <c r="T323" s="4">
        <f t="shared" si="38"/>
        <v>1</v>
      </c>
      <c r="U323" s="3">
        <f t="shared" si="39"/>
        <v>0.22541257855896957</v>
      </c>
      <c r="V323" s="5">
        <f t="shared" si="40"/>
        <v>28.761905683106601</v>
      </c>
    </row>
    <row r="324" spans="1:22" x14ac:dyDescent="0.3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t="s">
        <v>24</v>
      </c>
      <c r="G324" t="s">
        <v>27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  <c r="P324" s="2">
        <f t="shared" si="35"/>
        <v>3.3504846236687806E-2</v>
      </c>
      <c r="Q324" s="3">
        <f t="shared" si="36"/>
        <v>1.3642857414285714</v>
      </c>
      <c r="R324" s="4">
        <f t="shared" si="41"/>
        <v>0</v>
      </c>
      <c r="S324" s="3">
        <f t="shared" si="37"/>
        <v>0</v>
      </c>
      <c r="T324" s="4">
        <f t="shared" si="38"/>
        <v>0</v>
      </c>
      <c r="U324" s="3">
        <f t="shared" si="39"/>
        <v>0.45710183989469905</v>
      </c>
      <c r="V324" s="5">
        <f t="shared" si="40"/>
        <v>-1</v>
      </c>
    </row>
    <row r="325" spans="1:22" x14ac:dyDescent="0.3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t="s">
        <v>24</v>
      </c>
      <c r="G325" t="s">
        <v>23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  <c r="P325" s="2">
        <f t="shared" si="35"/>
        <v>2.476166893648632E-2</v>
      </c>
      <c r="Q325" s="3">
        <f t="shared" si="36"/>
        <v>1.789999962</v>
      </c>
      <c r="R325" s="4">
        <f t="shared" si="41"/>
        <v>0.5</v>
      </c>
      <c r="S325" s="3">
        <f t="shared" si="37"/>
        <v>3.579999924</v>
      </c>
      <c r="T325" s="4">
        <f t="shared" si="38"/>
        <v>1</v>
      </c>
      <c r="U325" s="3">
        <f t="shared" si="39"/>
        <v>0.44323386455367092</v>
      </c>
      <c r="V325" s="5">
        <f t="shared" si="40"/>
        <v>12.966480743422496</v>
      </c>
    </row>
    <row r="326" spans="1:22" x14ac:dyDescent="0.3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t="s">
        <v>24</v>
      </c>
      <c r="G326" t="s">
        <v>27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  <c r="P326" s="2">
        <f t="shared" si="35"/>
        <v>1.7850767583006071E-2</v>
      </c>
      <c r="Q326" s="3">
        <f t="shared" si="36"/>
        <v>1.5800000430000001</v>
      </c>
      <c r="R326" s="4">
        <f t="shared" si="41"/>
        <v>0</v>
      </c>
      <c r="S326" s="3">
        <f t="shared" si="37"/>
        <v>0</v>
      </c>
      <c r="T326" s="4">
        <f t="shared" si="38"/>
        <v>0</v>
      </c>
      <c r="U326" s="3">
        <f t="shared" si="39"/>
        <v>0.28204213548732598</v>
      </c>
      <c r="V326" s="5">
        <f t="shared" si="40"/>
        <v>-1</v>
      </c>
    </row>
    <row r="327" spans="1:22" x14ac:dyDescent="0.3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t="s">
        <v>22</v>
      </c>
      <c r="G327" t="s">
        <v>23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  <c r="P327" s="2">
        <f t="shared" si="35"/>
        <v>3.2341526520051747E-2</v>
      </c>
      <c r="Q327" s="3">
        <f t="shared" si="36"/>
        <v>1.375</v>
      </c>
      <c r="R327" s="4">
        <f t="shared" si="41"/>
        <v>0.5</v>
      </c>
      <c r="S327" s="3">
        <f t="shared" si="37"/>
        <v>2.75</v>
      </c>
      <c r="T327" s="4">
        <f t="shared" si="38"/>
        <v>1</v>
      </c>
      <c r="U327" s="3">
        <f t="shared" si="39"/>
        <v>0.44469598965071155</v>
      </c>
      <c r="V327" s="5">
        <f t="shared" si="40"/>
        <v>17.181818181818183</v>
      </c>
    </row>
    <row r="328" spans="1:22" x14ac:dyDescent="0.3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t="s">
        <v>22</v>
      </c>
      <c r="G328" t="s">
        <v>23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  <c r="P328" s="2">
        <f t="shared" si="35"/>
        <v>0</v>
      </c>
      <c r="Q328" s="3">
        <f t="shared" si="36"/>
        <v>0</v>
      </c>
      <c r="R328" s="4">
        <f t="shared" si="41"/>
        <v>0</v>
      </c>
      <c r="S328" s="3">
        <f t="shared" si="37"/>
        <v>0</v>
      </c>
      <c r="T328" s="4">
        <f t="shared" si="38"/>
        <v>0</v>
      </c>
      <c r="U328" s="3">
        <f t="shared" si="39"/>
        <v>0</v>
      </c>
      <c r="V328" s="5">
        <f t="shared" si="40"/>
        <v>0</v>
      </c>
    </row>
    <row r="329" spans="1:22" x14ac:dyDescent="0.3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t="s">
        <v>24</v>
      </c>
      <c r="G329" t="s">
        <v>27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  <c r="P329" s="2">
        <f t="shared" si="35"/>
        <v>2.2230126267117199E-2</v>
      </c>
      <c r="Q329" s="3">
        <f t="shared" si="36"/>
        <v>1.6516000272</v>
      </c>
      <c r="R329" s="4">
        <f t="shared" si="41"/>
        <v>0</v>
      </c>
      <c r="S329" s="3">
        <f t="shared" si="37"/>
        <v>0</v>
      </c>
      <c r="T329" s="4">
        <f t="shared" si="38"/>
        <v>0</v>
      </c>
      <c r="U329" s="3">
        <f t="shared" si="39"/>
        <v>0.36715277147430198</v>
      </c>
      <c r="V329" s="5">
        <f t="shared" si="40"/>
        <v>-1</v>
      </c>
    </row>
    <row r="330" spans="1:22" x14ac:dyDescent="0.3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t="s">
        <v>25</v>
      </c>
      <c r="G330" t="s">
        <v>23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  <c r="P330" s="2">
        <f t="shared" si="35"/>
        <v>0</v>
      </c>
      <c r="Q330" s="3">
        <f t="shared" si="36"/>
        <v>0</v>
      </c>
      <c r="R330" s="4">
        <f t="shared" si="41"/>
        <v>0</v>
      </c>
      <c r="S330" s="3">
        <f t="shared" si="37"/>
        <v>0</v>
      </c>
      <c r="T330" s="4">
        <f t="shared" si="38"/>
        <v>0</v>
      </c>
      <c r="U330" s="3">
        <f t="shared" si="39"/>
        <v>0</v>
      </c>
      <c r="V330" s="5">
        <f t="shared" si="40"/>
        <v>0</v>
      </c>
    </row>
    <row r="331" spans="1:22" x14ac:dyDescent="0.3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t="s">
        <v>24</v>
      </c>
      <c r="G331" t="s">
        <v>27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  <c r="P331" s="2">
        <f t="shared" si="35"/>
        <v>4.7716428084526245E-2</v>
      </c>
      <c r="Q331" s="3">
        <f t="shared" si="36"/>
        <v>1.3442857605714287</v>
      </c>
      <c r="R331" s="4">
        <f t="shared" si="41"/>
        <v>0</v>
      </c>
      <c r="S331" s="3">
        <f t="shared" si="37"/>
        <v>0</v>
      </c>
      <c r="T331" s="4">
        <f t="shared" si="38"/>
        <v>0</v>
      </c>
      <c r="U331" s="3">
        <f t="shared" si="39"/>
        <v>0.64144514819359244</v>
      </c>
      <c r="V331" s="5">
        <f t="shared" si="40"/>
        <v>-1</v>
      </c>
    </row>
    <row r="332" spans="1:22" x14ac:dyDescent="0.3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t="s">
        <v>22</v>
      </c>
      <c r="G332" t="s">
        <v>27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  <c r="P332" s="2">
        <f t="shared" si="35"/>
        <v>2.7154236060825489E-2</v>
      </c>
      <c r="Q332" s="3">
        <f t="shared" si="36"/>
        <v>1.4899999833333333</v>
      </c>
      <c r="R332" s="4">
        <f t="shared" si="41"/>
        <v>0</v>
      </c>
      <c r="S332" s="3">
        <f t="shared" si="37"/>
        <v>0</v>
      </c>
      <c r="T332" s="4">
        <f t="shared" si="38"/>
        <v>0</v>
      </c>
      <c r="U332" s="3">
        <f t="shared" si="39"/>
        <v>0.40459811278059377</v>
      </c>
      <c r="V332" s="5">
        <f t="shared" si="40"/>
        <v>-1</v>
      </c>
    </row>
    <row r="333" spans="1:22" x14ac:dyDescent="0.3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t="s">
        <v>26</v>
      </c>
      <c r="G333" t="s">
        <v>23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  <c r="P333" s="2">
        <f t="shared" si="35"/>
        <v>2.2742779167614281E-2</v>
      </c>
      <c r="Q333" s="3">
        <f t="shared" si="36"/>
        <v>0.94999998799999996</v>
      </c>
      <c r="R333" s="4">
        <f t="shared" si="41"/>
        <v>0</v>
      </c>
      <c r="S333" s="3">
        <f t="shared" si="37"/>
        <v>0</v>
      </c>
      <c r="T333" s="4">
        <f t="shared" si="38"/>
        <v>0</v>
      </c>
      <c r="U333" s="3">
        <f t="shared" si="39"/>
        <v>0.21605639936320217</v>
      </c>
      <c r="V333" s="5">
        <f t="shared" si="40"/>
        <v>-1</v>
      </c>
    </row>
    <row r="334" spans="1:22" x14ac:dyDescent="0.3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t="s">
        <v>26</v>
      </c>
      <c r="G334" t="s">
        <v>23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  <c r="P334" s="2">
        <f t="shared" si="35"/>
        <v>0</v>
      </c>
      <c r="Q334" s="3">
        <f t="shared" si="36"/>
        <v>0</v>
      </c>
      <c r="R334" s="4">
        <f t="shared" si="41"/>
        <v>0</v>
      </c>
      <c r="S334" s="3">
        <f t="shared" si="37"/>
        <v>0</v>
      </c>
      <c r="T334" s="4">
        <f t="shared" si="38"/>
        <v>0</v>
      </c>
      <c r="U334" s="3">
        <f t="shared" si="39"/>
        <v>0</v>
      </c>
      <c r="V334" s="5">
        <f t="shared" si="40"/>
        <v>0</v>
      </c>
    </row>
    <row r="335" spans="1:22" x14ac:dyDescent="0.3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t="s">
        <v>24</v>
      </c>
      <c r="G335" t="s">
        <v>27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  <c r="P335" s="2">
        <f t="shared" si="35"/>
        <v>2.6807555262658191E-2</v>
      </c>
      <c r="Q335" s="3">
        <f t="shared" si="36"/>
        <v>1.3454166650000001</v>
      </c>
      <c r="R335" s="4">
        <f t="shared" si="41"/>
        <v>0</v>
      </c>
      <c r="S335" s="3">
        <f t="shared" si="37"/>
        <v>0</v>
      </c>
      <c r="T335" s="4">
        <f t="shared" si="38"/>
        <v>0</v>
      </c>
      <c r="U335" s="3">
        <f t="shared" si="39"/>
        <v>0.36067331598288788</v>
      </c>
      <c r="V335" s="5">
        <f t="shared" si="40"/>
        <v>-1</v>
      </c>
    </row>
    <row r="336" spans="1:22" x14ac:dyDescent="0.3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t="s">
        <v>24</v>
      </c>
      <c r="G336" t="s">
        <v>27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  <c r="P336" s="2">
        <f t="shared" si="35"/>
        <v>0</v>
      </c>
      <c r="Q336" s="3">
        <f t="shared" si="36"/>
        <v>0</v>
      </c>
      <c r="R336" s="4">
        <f t="shared" si="41"/>
        <v>0</v>
      </c>
      <c r="S336" s="3">
        <f t="shared" si="37"/>
        <v>0</v>
      </c>
      <c r="T336" s="4">
        <f t="shared" si="38"/>
        <v>0</v>
      </c>
      <c r="U336" s="3">
        <f t="shared" si="39"/>
        <v>0</v>
      </c>
      <c r="V336" s="5">
        <f t="shared" si="40"/>
        <v>0</v>
      </c>
    </row>
    <row r="337" spans="1:22" x14ac:dyDescent="0.3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t="s">
        <v>24</v>
      </c>
      <c r="G337" t="s">
        <v>27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  <c r="P337" s="2">
        <f t="shared" si="35"/>
        <v>2.8105677346824058E-2</v>
      </c>
      <c r="Q337" s="3">
        <f t="shared" si="36"/>
        <v>0.8650000095</v>
      </c>
      <c r="R337" s="4">
        <f t="shared" si="41"/>
        <v>0.5</v>
      </c>
      <c r="S337" s="3">
        <f t="shared" si="37"/>
        <v>1.730000019</v>
      </c>
      <c r="T337" s="4">
        <f t="shared" si="38"/>
        <v>1</v>
      </c>
      <c r="U337" s="3">
        <f t="shared" si="39"/>
        <v>0.24311411172006744</v>
      </c>
      <c r="V337" s="5">
        <f t="shared" si="40"/>
        <v>27.901733786628355</v>
      </c>
    </row>
    <row r="338" spans="1:22" x14ac:dyDescent="0.3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t="s">
        <v>22</v>
      </c>
      <c r="G338" t="s">
        <v>27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  <c r="P338" s="2">
        <f t="shared" si="35"/>
        <v>1.1610356437942644E-2</v>
      </c>
      <c r="Q338" s="3">
        <f t="shared" si="36"/>
        <v>0.88999998599999997</v>
      </c>
      <c r="R338" s="4">
        <f t="shared" si="41"/>
        <v>0</v>
      </c>
      <c r="S338" s="3">
        <f t="shared" si="37"/>
        <v>0</v>
      </c>
      <c r="T338" s="4">
        <f t="shared" si="38"/>
        <v>0</v>
      </c>
      <c r="U338" s="3">
        <f t="shared" si="39"/>
        <v>0.10333217067223964</v>
      </c>
      <c r="V338" s="5">
        <f t="shared" si="40"/>
        <v>-1</v>
      </c>
    </row>
    <row r="339" spans="1:22" x14ac:dyDescent="0.3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t="s">
        <v>24</v>
      </c>
      <c r="G339" t="s">
        <v>27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  <c r="P339" s="2">
        <f t="shared" si="35"/>
        <v>1.0277492291880781E-2</v>
      </c>
      <c r="Q339" s="3">
        <f t="shared" si="36"/>
        <v>1.3799999949999999</v>
      </c>
      <c r="R339" s="4">
        <f t="shared" si="41"/>
        <v>0</v>
      </c>
      <c r="S339" s="3">
        <f t="shared" si="37"/>
        <v>0</v>
      </c>
      <c r="T339" s="4">
        <f t="shared" si="38"/>
        <v>0</v>
      </c>
      <c r="U339" s="3">
        <f t="shared" si="39"/>
        <v>0.14182939311408016</v>
      </c>
      <c r="V339" s="5">
        <f t="shared" si="40"/>
        <v>-1</v>
      </c>
    </row>
    <row r="340" spans="1:22" x14ac:dyDescent="0.3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t="s">
        <v>22</v>
      </c>
      <c r="G340" t="s">
        <v>27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  <c r="P340" s="2">
        <f t="shared" si="35"/>
        <v>1.5439246564767639E-2</v>
      </c>
      <c r="Q340" s="3">
        <f t="shared" si="36"/>
        <v>1.2787499874999999</v>
      </c>
      <c r="R340" s="4">
        <f t="shared" si="41"/>
        <v>0.125</v>
      </c>
      <c r="S340" s="3">
        <f t="shared" si="37"/>
        <v>10.229999899999999</v>
      </c>
      <c r="T340" s="4">
        <f t="shared" si="38"/>
        <v>0.5</v>
      </c>
      <c r="U340" s="3">
        <f t="shared" si="39"/>
        <v>0.19742936351706036</v>
      </c>
      <c r="V340" s="5">
        <f t="shared" si="40"/>
        <v>3.8875855805238091</v>
      </c>
    </row>
    <row r="341" spans="1:22" x14ac:dyDescent="0.3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t="s">
        <v>22</v>
      </c>
      <c r="G341" t="s">
        <v>27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  <c r="P341" s="2">
        <f t="shared" si="35"/>
        <v>1.0993440580453663E-2</v>
      </c>
      <c r="Q341" s="3">
        <f t="shared" si="36"/>
        <v>1.4766666093333332</v>
      </c>
      <c r="R341" s="4">
        <f t="shared" si="41"/>
        <v>0</v>
      </c>
      <c r="S341" s="3">
        <f t="shared" si="37"/>
        <v>0</v>
      </c>
      <c r="T341" s="4">
        <f t="shared" si="38"/>
        <v>0</v>
      </c>
      <c r="U341" s="3">
        <f t="shared" si="39"/>
        <v>0.16233646626845979</v>
      </c>
      <c r="V341" s="5">
        <f t="shared" si="40"/>
        <v>-1</v>
      </c>
    </row>
    <row r="342" spans="1:22" x14ac:dyDescent="0.3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t="s">
        <v>22</v>
      </c>
      <c r="G342" t="s">
        <v>27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  <c r="P342" s="2">
        <f t="shared" si="35"/>
        <v>1.9599196432946248E-2</v>
      </c>
      <c r="Q342" s="3">
        <f t="shared" si="36"/>
        <v>0.957499981</v>
      </c>
      <c r="R342" s="4">
        <f t="shared" si="41"/>
        <v>0</v>
      </c>
      <c r="S342" s="3">
        <f t="shared" si="37"/>
        <v>0</v>
      </c>
      <c r="T342" s="4">
        <f t="shared" si="38"/>
        <v>0</v>
      </c>
      <c r="U342" s="3">
        <f t="shared" si="39"/>
        <v>0.18766230212161303</v>
      </c>
      <c r="V342" s="5">
        <f t="shared" si="40"/>
        <v>-1</v>
      </c>
    </row>
    <row r="343" spans="1:22" x14ac:dyDescent="0.3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t="s">
        <v>22</v>
      </c>
      <c r="G343" t="s">
        <v>27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  <c r="P343" s="2">
        <f t="shared" si="35"/>
        <v>1.2431626056688214E-2</v>
      </c>
      <c r="Q343" s="3">
        <f t="shared" si="36"/>
        <v>1.1100000139999999</v>
      </c>
      <c r="R343" s="4">
        <f t="shared" si="41"/>
        <v>0</v>
      </c>
      <c r="S343" s="3">
        <f t="shared" si="37"/>
        <v>0</v>
      </c>
      <c r="T343" s="4">
        <f t="shared" si="38"/>
        <v>0</v>
      </c>
      <c r="U343" s="3">
        <f t="shared" si="39"/>
        <v>0.13799105096966682</v>
      </c>
      <c r="V343" s="5">
        <f t="shared" si="40"/>
        <v>-1</v>
      </c>
    </row>
    <row r="344" spans="1:22" x14ac:dyDescent="0.3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t="s">
        <v>22</v>
      </c>
      <c r="G344" t="s">
        <v>27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  <c r="P344" s="2">
        <f t="shared" si="35"/>
        <v>2.5567273889421541E-2</v>
      </c>
      <c r="Q344" s="3">
        <f t="shared" si="36"/>
        <v>1.3374999762499999</v>
      </c>
      <c r="R344" s="4">
        <f t="shared" si="41"/>
        <v>0</v>
      </c>
      <c r="S344" s="3">
        <f t="shared" si="37"/>
        <v>0</v>
      </c>
      <c r="T344" s="4">
        <f t="shared" si="38"/>
        <v>0</v>
      </c>
      <c r="U344" s="3">
        <f t="shared" si="39"/>
        <v>0.34196228219878549</v>
      </c>
      <c r="V344" s="5">
        <f t="shared" si="40"/>
        <v>-1</v>
      </c>
    </row>
    <row r="345" spans="1:22" x14ac:dyDescent="0.3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t="s">
        <v>22</v>
      </c>
      <c r="G345" t="s">
        <v>27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  <c r="P345" s="2">
        <f t="shared" si="35"/>
        <v>0</v>
      </c>
      <c r="Q345" s="3">
        <f t="shared" si="36"/>
        <v>0</v>
      </c>
      <c r="R345" s="4">
        <f t="shared" si="41"/>
        <v>0</v>
      </c>
      <c r="S345" s="3">
        <f t="shared" si="37"/>
        <v>0</v>
      </c>
      <c r="T345" s="4">
        <f t="shared" si="38"/>
        <v>1</v>
      </c>
      <c r="U345" s="3">
        <f t="shared" si="39"/>
        <v>0</v>
      </c>
      <c r="V345" s="5">
        <f t="shared" si="40"/>
        <v>0</v>
      </c>
    </row>
    <row r="346" spans="1:22" x14ac:dyDescent="0.3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t="s">
        <v>26</v>
      </c>
      <c r="G346" t="s">
        <v>23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  <c r="P346" s="2">
        <f t="shared" si="35"/>
        <v>2.5837567823615536E-2</v>
      </c>
      <c r="Q346" s="3">
        <f t="shared" si="36"/>
        <v>1.3166666826666666</v>
      </c>
      <c r="R346" s="4">
        <f t="shared" si="41"/>
        <v>0.33333333333333331</v>
      </c>
      <c r="S346" s="3">
        <f t="shared" si="37"/>
        <v>3.9500000480000002</v>
      </c>
      <c r="T346" s="4">
        <f t="shared" si="38"/>
        <v>1</v>
      </c>
      <c r="U346" s="3">
        <f t="shared" si="39"/>
        <v>0.34019464714494879</v>
      </c>
      <c r="V346" s="5">
        <f t="shared" si="40"/>
        <v>11.658227694279764</v>
      </c>
    </row>
    <row r="347" spans="1:22" x14ac:dyDescent="0.3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t="s">
        <v>26</v>
      </c>
      <c r="G347" t="s">
        <v>23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  <c r="P347" s="2">
        <f t="shared" si="35"/>
        <v>3.2000000000000001E-2</v>
      </c>
      <c r="Q347" s="3">
        <f t="shared" si="36"/>
        <v>1.3399999936666667</v>
      </c>
      <c r="R347" s="4">
        <f t="shared" si="41"/>
        <v>0</v>
      </c>
      <c r="S347" s="3">
        <f t="shared" si="37"/>
        <v>0</v>
      </c>
      <c r="T347" s="4">
        <f t="shared" si="38"/>
        <v>0</v>
      </c>
      <c r="U347" s="3">
        <f t="shared" si="39"/>
        <v>0.42879999797333329</v>
      </c>
      <c r="V347" s="5">
        <f t="shared" si="40"/>
        <v>-1</v>
      </c>
    </row>
    <row r="348" spans="1:22" x14ac:dyDescent="0.3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t="s">
        <v>22</v>
      </c>
      <c r="G348" t="s">
        <v>27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  <c r="P348" s="2">
        <f t="shared" si="35"/>
        <v>2.2716946842344387E-2</v>
      </c>
      <c r="Q348" s="3">
        <f t="shared" si="36"/>
        <v>1.3300000430000001</v>
      </c>
      <c r="R348" s="4">
        <f t="shared" si="41"/>
        <v>1</v>
      </c>
      <c r="S348" s="3">
        <f t="shared" si="37"/>
        <v>1.3300000430000001</v>
      </c>
      <c r="T348" s="4">
        <f t="shared" si="38"/>
        <v>1</v>
      </c>
      <c r="U348" s="3">
        <f t="shared" si="39"/>
        <v>0.3021354027714675</v>
      </c>
      <c r="V348" s="5">
        <f t="shared" si="40"/>
        <v>36.593983746961428</v>
      </c>
    </row>
    <row r="349" spans="1:22" x14ac:dyDescent="0.3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t="s">
        <v>22</v>
      </c>
      <c r="G349" t="s">
        <v>27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  <c r="P349" s="2">
        <f t="shared" si="35"/>
        <v>2.361553902467824E-2</v>
      </c>
      <c r="Q349" s="3">
        <f t="shared" si="36"/>
        <v>1.5449999569999999</v>
      </c>
      <c r="R349" s="4">
        <f t="shared" si="41"/>
        <v>0</v>
      </c>
      <c r="S349" s="3">
        <f t="shared" si="37"/>
        <v>0</v>
      </c>
      <c r="T349" s="4">
        <f t="shared" si="38"/>
        <v>0</v>
      </c>
      <c r="U349" s="3">
        <f t="shared" si="39"/>
        <v>0.36486006777659702</v>
      </c>
      <c r="V349" s="5">
        <f t="shared" si="40"/>
        <v>-1</v>
      </c>
    </row>
    <row r="350" spans="1:22" x14ac:dyDescent="0.3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t="s">
        <v>22</v>
      </c>
      <c r="G350" t="s">
        <v>27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  <c r="P350" s="2">
        <f t="shared" si="35"/>
        <v>1.717327837884252E-2</v>
      </c>
      <c r="Q350" s="3">
        <f t="shared" si="36"/>
        <v>1.4199999569999999</v>
      </c>
      <c r="R350" s="4">
        <f t="shared" si="41"/>
        <v>1</v>
      </c>
      <c r="S350" s="3">
        <f t="shared" si="37"/>
        <v>1.4199999569999999</v>
      </c>
      <c r="T350" s="4">
        <f t="shared" si="38"/>
        <v>1</v>
      </c>
      <c r="U350" s="3">
        <f t="shared" si="39"/>
        <v>0.2438605455950541</v>
      </c>
      <c r="V350" s="5">
        <f t="shared" si="40"/>
        <v>34.211268671890529</v>
      </c>
    </row>
    <row r="351" spans="1:22" x14ac:dyDescent="0.3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t="s">
        <v>24</v>
      </c>
      <c r="G351" t="s">
        <v>23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  <c r="P351" s="2">
        <f t="shared" si="35"/>
        <v>0</v>
      </c>
      <c r="Q351" s="3">
        <f t="shared" si="36"/>
        <v>0</v>
      </c>
      <c r="R351" s="4">
        <f t="shared" si="41"/>
        <v>0</v>
      </c>
      <c r="S351" s="3">
        <f t="shared" si="37"/>
        <v>0</v>
      </c>
      <c r="T351" s="4">
        <f t="shared" si="38"/>
        <v>0</v>
      </c>
      <c r="U351" s="3">
        <f t="shared" si="39"/>
        <v>0</v>
      </c>
      <c r="V351" s="5">
        <f t="shared" si="40"/>
        <v>0</v>
      </c>
    </row>
    <row r="352" spans="1:22" x14ac:dyDescent="0.3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t="s">
        <v>24</v>
      </c>
      <c r="G352" t="s">
        <v>23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  <c r="P352" s="2">
        <f t="shared" si="35"/>
        <v>1.5493666963628618E-2</v>
      </c>
      <c r="Q352" s="3">
        <f t="shared" si="36"/>
        <v>1.5049999952499999</v>
      </c>
      <c r="R352" s="4">
        <f t="shared" si="41"/>
        <v>0</v>
      </c>
      <c r="S352" s="3">
        <f t="shared" si="37"/>
        <v>0</v>
      </c>
      <c r="T352" s="4">
        <f t="shared" si="38"/>
        <v>0</v>
      </c>
      <c r="U352" s="3">
        <f t="shared" si="39"/>
        <v>0.23317968706666148</v>
      </c>
      <c r="V352" s="5">
        <f t="shared" si="40"/>
        <v>-1</v>
      </c>
    </row>
    <row r="353" spans="1:22" x14ac:dyDescent="0.3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t="s">
        <v>22</v>
      </c>
      <c r="G353" t="s">
        <v>27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  <c r="P353" s="2">
        <f t="shared" si="35"/>
        <v>0</v>
      </c>
      <c r="Q353" s="3">
        <f t="shared" si="36"/>
        <v>0</v>
      </c>
      <c r="R353" s="4">
        <f t="shared" si="41"/>
        <v>0</v>
      </c>
      <c r="S353" s="3">
        <f t="shared" si="37"/>
        <v>0</v>
      </c>
      <c r="T353" s="4">
        <f t="shared" si="38"/>
        <v>0</v>
      </c>
      <c r="U353" s="3">
        <f t="shared" si="39"/>
        <v>0</v>
      </c>
      <c r="V353" s="5">
        <f t="shared" si="40"/>
        <v>0</v>
      </c>
    </row>
    <row r="354" spans="1:22" x14ac:dyDescent="0.3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t="s">
        <v>22</v>
      </c>
      <c r="G354" t="s">
        <v>27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  <c r="P354" s="2">
        <f t="shared" si="35"/>
        <v>0</v>
      </c>
      <c r="Q354" s="3">
        <f t="shared" si="36"/>
        <v>0</v>
      </c>
      <c r="R354" s="4">
        <f t="shared" si="41"/>
        <v>0</v>
      </c>
      <c r="S354" s="3">
        <f t="shared" si="37"/>
        <v>0</v>
      </c>
      <c r="T354" s="4">
        <f t="shared" si="38"/>
        <v>0</v>
      </c>
      <c r="U354" s="3">
        <f t="shared" si="39"/>
        <v>0</v>
      </c>
      <c r="V354" s="5">
        <f t="shared" si="40"/>
        <v>0</v>
      </c>
    </row>
    <row r="355" spans="1:22" x14ac:dyDescent="0.3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t="s">
        <v>22</v>
      </c>
      <c r="G355" t="s">
        <v>27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  <c r="P355" s="2">
        <f t="shared" si="35"/>
        <v>2.0116676725005028E-2</v>
      </c>
      <c r="Q355" s="3">
        <f t="shared" si="36"/>
        <v>1.230000019</v>
      </c>
      <c r="R355" s="4">
        <f t="shared" si="41"/>
        <v>1</v>
      </c>
      <c r="S355" s="3">
        <f t="shared" si="37"/>
        <v>1.230000019</v>
      </c>
      <c r="T355" s="4">
        <f t="shared" si="38"/>
        <v>1</v>
      </c>
      <c r="U355" s="3">
        <f t="shared" si="39"/>
        <v>0.2474351275397304</v>
      </c>
      <c r="V355" s="5">
        <f t="shared" si="40"/>
        <v>39.650405876131941</v>
      </c>
    </row>
    <row r="356" spans="1:22" x14ac:dyDescent="0.3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t="s">
        <v>24</v>
      </c>
      <c r="G356" t="s">
        <v>27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  <c r="P356" s="2">
        <f t="shared" si="35"/>
        <v>0</v>
      </c>
      <c r="Q356" s="3">
        <f t="shared" si="36"/>
        <v>0</v>
      </c>
      <c r="R356" s="4">
        <f t="shared" si="41"/>
        <v>0</v>
      </c>
      <c r="S356" s="3">
        <f t="shared" si="37"/>
        <v>0</v>
      </c>
      <c r="T356" s="4">
        <f t="shared" si="38"/>
        <v>1</v>
      </c>
      <c r="U356" s="3">
        <f t="shared" si="39"/>
        <v>0</v>
      </c>
      <c r="V356" s="5">
        <f t="shared" si="40"/>
        <v>0</v>
      </c>
    </row>
    <row r="357" spans="1:22" x14ac:dyDescent="0.3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t="s">
        <v>26</v>
      </c>
      <c r="G357" t="s">
        <v>27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  <c r="P357" s="2">
        <f t="shared" si="35"/>
        <v>3.4495290776821626E-2</v>
      </c>
      <c r="Q357" s="3">
        <f t="shared" si="36"/>
        <v>1.376428565892857</v>
      </c>
      <c r="R357" s="4">
        <f t="shared" si="41"/>
        <v>0</v>
      </c>
      <c r="S357" s="3">
        <f t="shared" si="37"/>
        <v>0</v>
      </c>
      <c r="T357" s="4">
        <f t="shared" si="38"/>
        <v>0</v>
      </c>
      <c r="U357" s="3">
        <f t="shared" si="39"/>
        <v>0.47480303613997693</v>
      </c>
      <c r="V357" s="5">
        <f t="shared" si="40"/>
        <v>-1</v>
      </c>
    </row>
    <row r="358" spans="1:22" x14ac:dyDescent="0.3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t="s">
        <v>26</v>
      </c>
      <c r="G358" t="s">
        <v>27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  <c r="P358" s="2">
        <f t="shared" si="35"/>
        <v>2.8522532800912718E-2</v>
      </c>
      <c r="Q358" s="3">
        <f t="shared" si="36"/>
        <v>1.3328571319999998</v>
      </c>
      <c r="R358" s="4">
        <f t="shared" si="41"/>
        <v>0</v>
      </c>
      <c r="S358" s="3">
        <f t="shared" si="37"/>
        <v>0</v>
      </c>
      <c r="T358" s="4">
        <f t="shared" si="38"/>
        <v>0</v>
      </c>
      <c r="U358" s="3">
        <f t="shared" si="39"/>
        <v>0.38016461266400453</v>
      </c>
      <c r="V358" s="5">
        <f t="shared" si="40"/>
        <v>-1</v>
      </c>
    </row>
    <row r="359" spans="1:22" x14ac:dyDescent="0.3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t="s">
        <v>22</v>
      </c>
      <c r="G359" t="s">
        <v>27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  <c r="P359" s="2">
        <f t="shared" si="35"/>
        <v>0</v>
      </c>
      <c r="Q359" s="3">
        <f t="shared" si="36"/>
        <v>0</v>
      </c>
      <c r="R359" s="4">
        <f t="shared" si="41"/>
        <v>0</v>
      </c>
      <c r="S359" s="3">
        <f t="shared" si="37"/>
        <v>0</v>
      </c>
      <c r="T359" s="4">
        <f t="shared" si="38"/>
        <v>1</v>
      </c>
      <c r="U359" s="3">
        <f t="shared" si="39"/>
        <v>0</v>
      </c>
      <c r="V359" s="5">
        <f t="shared" si="40"/>
        <v>0</v>
      </c>
    </row>
    <row r="360" spans="1:22" x14ac:dyDescent="0.3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t="s">
        <v>22</v>
      </c>
      <c r="G360" t="s">
        <v>27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  <c r="P360" s="2">
        <f t="shared" si="35"/>
        <v>2.2024814624476911E-2</v>
      </c>
      <c r="Q360" s="3">
        <f t="shared" si="36"/>
        <v>1.3633333443333333</v>
      </c>
      <c r="R360" s="4">
        <f t="shared" si="41"/>
        <v>0</v>
      </c>
      <c r="S360" s="3">
        <f t="shared" si="37"/>
        <v>0</v>
      </c>
      <c r="T360" s="4">
        <f t="shared" si="38"/>
        <v>0</v>
      </c>
      <c r="U360" s="3">
        <f t="shared" si="39"/>
        <v>0.30027164180309812</v>
      </c>
      <c r="V360" s="5">
        <f t="shared" si="40"/>
        <v>-1</v>
      </c>
    </row>
    <row r="361" spans="1:22" x14ac:dyDescent="0.3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t="s">
        <v>22</v>
      </c>
      <c r="G361" t="s">
        <v>27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  <c r="P361" s="2">
        <f t="shared" si="35"/>
        <v>1.6194331983805668E-2</v>
      </c>
      <c r="Q361" s="3">
        <f t="shared" si="36"/>
        <v>1.3700000050000001</v>
      </c>
      <c r="R361" s="4">
        <f t="shared" si="41"/>
        <v>1</v>
      </c>
      <c r="S361" s="3">
        <f t="shared" si="37"/>
        <v>1.3700000050000001</v>
      </c>
      <c r="T361" s="4">
        <f t="shared" si="38"/>
        <v>0.5</v>
      </c>
      <c r="U361" s="3">
        <f t="shared" si="39"/>
        <v>0.22186234898785426</v>
      </c>
      <c r="V361" s="5">
        <f t="shared" si="40"/>
        <v>35.496350231765142</v>
      </c>
    </row>
    <row r="362" spans="1:22" x14ac:dyDescent="0.3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t="s">
        <v>22</v>
      </c>
      <c r="G362" t="s">
        <v>27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  <c r="P362" s="2">
        <f t="shared" si="35"/>
        <v>0</v>
      </c>
      <c r="Q362" s="3">
        <f t="shared" si="36"/>
        <v>0</v>
      </c>
      <c r="R362" s="4">
        <f t="shared" si="41"/>
        <v>0</v>
      </c>
      <c r="S362" s="3">
        <f t="shared" si="37"/>
        <v>0</v>
      </c>
      <c r="T362" s="4">
        <f t="shared" si="38"/>
        <v>0</v>
      </c>
      <c r="U362" s="3">
        <f t="shared" si="39"/>
        <v>0</v>
      </c>
      <c r="V362" s="5">
        <f t="shared" si="40"/>
        <v>0</v>
      </c>
    </row>
    <row r="363" spans="1:22" x14ac:dyDescent="0.3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t="s">
        <v>22</v>
      </c>
      <c r="G363" t="s">
        <v>27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  <c r="P363" s="2">
        <f t="shared" si="35"/>
        <v>1.1018069634200088E-2</v>
      </c>
      <c r="Q363" s="3">
        <f t="shared" si="36"/>
        <v>1.3799999949999999</v>
      </c>
      <c r="R363" s="4">
        <f t="shared" si="41"/>
        <v>1</v>
      </c>
      <c r="S363" s="3">
        <f t="shared" si="37"/>
        <v>1.3799999949999999</v>
      </c>
      <c r="T363" s="4">
        <f t="shared" si="38"/>
        <v>1</v>
      </c>
      <c r="U363" s="3">
        <f t="shared" si="39"/>
        <v>0.15204936040105774</v>
      </c>
      <c r="V363" s="5">
        <f t="shared" si="40"/>
        <v>35.23188418924596</v>
      </c>
    </row>
    <row r="364" spans="1:22" x14ac:dyDescent="0.3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t="s">
        <v>22</v>
      </c>
      <c r="G364" t="s">
        <v>27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  <c r="P364" s="2">
        <f t="shared" si="35"/>
        <v>1.9101284561386753E-2</v>
      </c>
      <c r="Q364" s="3">
        <f t="shared" si="36"/>
        <v>1.47749999175</v>
      </c>
      <c r="R364" s="4">
        <f t="shared" si="41"/>
        <v>0.25</v>
      </c>
      <c r="S364" s="3">
        <f t="shared" si="37"/>
        <v>5.9099999670000001</v>
      </c>
      <c r="T364" s="4">
        <f t="shared" si="38"/>
        <v>1</v>
      </c>
      <c r="U364" s="3">
        <f t="shared" si="39"/>
        <v>0.28222147781863333</v>
      </c>
      <c r="V364" s="5">
        <f t="shared" si="40"/>
        <v>7.4602369338727277</v>
      </c>
    </row>
    <row r="365" spans="1:22" x14ac:dyDescent="0.3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t="s">
        <v>26</v>
      </c>
      <c r="G365" t="s">
        <v>27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  <c r="P365" s="2">
        <f t="shared" si="35"/>
        <v>0</v>
      </c>
      <c r="Q365" s="3">
        <f t="shared" si="36"/>
        <v>0</v>
      </c>
      <c r="R365" s="4">
        <f t="shared" si="41"/>
        <v>0</v>
      </c>
      <c r="S365" s="3">
        <f t="shared" si="37"/>
        <v>0</v>
      </c>
      <c r="T365" s="4">
        <f t="shared" si="38"/>
        <v>0</v>
      </c>
      <c r="U365" s="3">
        <f t="shared" si="39"/>
        <v>0</v>
      </c>
      <c r="V365" s="5">
        <f t="shared" si="40"/>
        <v>0</v>
      </c>
    </row>
    <row r="366" spans="1:22" x14ac:dyDescent="0.3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t="s">
        <v>22</v>
      </c>
      <c r="G366" t="s">
        <v>27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  <c r="P366" s="2">
        <f t="shared" si="35"/>
        <v>0</v>
      </c>
      <c r="Q366" s="3">
        <f t="shared" si="36"/>
        <v>0</v>
      </c>
      <c r="R366" s="4">
        <f t="shared" si="41"/>
        <v>0</v>
      </c>
      <c r="S366" s="3">
        <f t="shared" si="37"/>
        <v>0</v>
      </c>
      <c r="T366" s="4">
        <f t="shared" si="38"/>
        <v>1</v>
      </c>
      <c r="U366" s="3">
        <f t="shared" si="39"/>
        <v>0</v>
      </c>
      <c r="V366" s="5">
        <f t="shared" si="40"/>
        <v>0</v>
      </c>
    </row>
    <row r="367" spans="1:22" x14ac:dyDescent="0.3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t="s">
        <v>22</v>
      </c>
      <c r="G367" t="s">
        <v>27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  <c r="P367" s="2">
        <f t="shared" si="35"/>
        <v>0</v>
      </c>
      <c r="Q367" s="3">
        <f t="shared" si="36"/>
        <v>0</v>
      </c>
      <c r="R367" s="4">
        <f t="shared" si="41"/>
        <v>0</v>
      </c>
      <c r="S367" s="3">
        <f t="shared" si="37"/>
        <v>0</v>
      </c>
      <c r="T367" s="4">
        <f t="shared" si="38"/>
        <v>0</v>
      </c>
      <c r="U367" s="3">
        <f t="shared" si="39"/>
        <v>0</v>
      </c>
      <c r="V367" s="5">
        <f t="shared" si="40"/>
        <v>0</v>
      </c>
    </row>
    <row r="368" spans="1:22" x14ac:dyDescent="0.3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t="s">
        <v>22</v>
      </c>
      <c r="G368" t="s">
        <v>27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  <c r="P368" s="2">
        <f t="shared" si="35"/>
        <v>0</v>
      </c>
      <c r="Q368" s="3">
        <f t="shared" si="36"/>
        <v>0</v>
      </c>
      <c r="R368" s="4">
        <f t="shared" si="41"/>
        <v>0</v>
      </c>
      <c r="S368" s="3">
        <f t="shared" si="37"/>
        <v>0</v>
      </c>
      <c r="T368" s="4">
        <f t="shared" si="38"/>
        <v>0</v>
      </c>
      <c r="U368" s="3">
        <f t="shared" si="39"/>
        <v>0</v>
      </c>
      <c r="V368" s="5">
        <f t="shared" si="40"/>
        <v>0</v>
      </c>
    </row>
    <row r="369" spans="1:22" x14ac:dyDescent="0.3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t="s">
        <v>26</v>
      </c>
      <c r="G369" t="s">
        <v>27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  <c r="P369" s="2">
        <f t="shared" si="35"/>
        <v>0</v>
      </c>
      <c r="Q369" s="3">
        <f t="shared" si="36"/>
        <v>0</v>
      </c>
      <c r="R369" s="4">
        <f t="shared" si="41"/>
        <v>0</v>
      </c>
      <c r="S369" s="3">
        <f t="shared" si="37"/>
        <v>0</v>
      </c>
      <c r="T369" s="4">
        <f t="shared" si="38"/>
        <v>0</v>
      </c>
      <c r="U369" s="3">
        <f t="shared" si="39"/>
        <v>0</v>
      </c>
      <c r="V369" s="5">
        <f t="shared" si="40"/>
        <v>0</v>
      </c>
    </row>
    <row r="370" spans="1:22" x14ac:dyDescent="0.3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t="s">
        <v>26</v>
      </c>
      <c r="G370" t="s">
        <v>27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  <c r="P370" s="2">
        <f t="shared" si="35"/>
        <v>2.9125648045669014E-2</v>
      </c>
      <c r="Q370" s="3">
        <f t="shared" si="36"/>
        <v>1.3820000172</v>
      </c>
      <c r="R370" s="4">
        <f t="shared" si="41"/>
        <v>0</v>
      </c>
      <c r="S370" s="3">
        <f t="shared" si="37"/>
        <v>0</v>
      </c>
      <c r="T370" s="4">
        <f t="shared" si="38"/>
        <v>0</v>
      </c>
      <c r="U370" s="3">
        <f t="shared" si="39"/>
        <v>0.40251646100075728</v>
      </c>
      <c r="V370" s="5">
        <f t="shared" si="40"/>
        <v>-1</v>
      </c>
    </row>
    <row r="371" spans="1:22" x14ac:dyDescent="0.3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t="s">
        <v>22</v>
      </c>
      <c r="G371" t="s">
        <v>27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  <c r="P371" s="2">
        <f t="shared" si="35"/>
        <v>2.8581928055203952E-2</v>
      </c>
      <c r="Q371" s="3">
        <f t="shared" si="36"/>
        <v>1.3628571374285714</v>
      </c>
      <c r="R371" s="4">
        <f t="shared" si="41"/>
        <v>0</v>
      </c>
      <c r="S371" s="3">
        <f t="shared" si="37"/>
        <v>0</v>
      </c>
      <c r="T371" s="4">
        <f t="shared" si="38"/>
        <v>0</v>
      </c>
      <c r="U371" s="3">
        <f t="shared" si="39"/>
        <v>0.38953084651504633</v>
      </c>
      <c r="V371" s="5">
        <f t="shared" si="40"/>
        <v>-1</v>
      </c>
    </row>
    <row r="372" spans="1:22" x14ac:dyDescent="0.3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t="s">
        <v>22</v>
      </c>
      <c r="G372" t="s">
        <v>27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  <c r="P372" s="2">
        <f t="shared" si="35"/>
        <v>2.9083424685115995E-2</v>
      </c>
      <c r="Q372" s="3">
        <f t="shared" si="36"/>
        <v>1.3307692592307692</v>
      </c>
      <c r="R372" s="4">
        <f t="shared" si="41"/>
        <v>0</v>
      </c>
      <c r="S372" s="3">
        <f t="shared" si="37"/>
        <v>0</v>
      </c>
      <c r="T372" s="4">
        <f t="shared" si="38"/>
        <v>0</v>
      </c>
      <c r="U372" s="3">
        <f t="shared" si="39"/>
        <v>0.38703327524105685</v>
      </c>
      <c r="V372" s="5">
        <f t="shared" si="40"/>
        <v>-1</v>
      </c>
    </row>
    <row r="373" spans="1:22" x14ac:dyDescent="0.3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t="s">
        <v>22</v>
      </c>
      <c r="G373" t="s">
        <v>27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  <c r="P373" s="2">
        <f t="shared" si="35"/>
        <v>3.0916679548616478E-2</v>
      </c>
      <c r="Q373" s="3">
        <f t="shared" si="36"/>
        <v>0.6549999715</v>
      </c>
      <c r="R373" s="4">
        <f t="shared" si="41"/>
        <v>0</v>
      </c>
      <c r="S373" s="3">
        <f t="shared" si="37"/>
        <v>0</v>
      </c>
      <c r="T373" s="4">
        <f t="shared" si="38"/>
        <v>0</v>
      </c>
      <c r="U373" s="3">
        <f t="shared" si="39"/>
        <v>0.20250424223218427</v>
      </c>
      <c r="V373" s="5">
        <f t="shared" si="40"/>
        <v>-1</v>
      </c>
    </row>
    <row r="374" spans="1:22" x14ac:dyDescent="0.3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t="s">
        <v>26</v>
      </c>
      <c r="G374" t="s">
        <v>27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  <c r="P374" s="2">
        <f t="shared" si="35"/>
        <v>1.8688095683049896E-2</v>
      </c>
      <c r="Q374" s="3">
        <f t="shared" si="36"/>
        <v>1.3599999746666667</v>
      </c>
      <c r="R374" s="4">
        <f t="shared" si="41"/>
        <v>0.33333333333333331</v>
      </c>
      <c r="S374" s="3">
        <f t="shared" si="37"/>
        <v>4.079999924</v>
      </c>
      <c r="T374" s="4">
        <f t="shared" si="38"/>
        <v>1</v>
      </c>
      <c r="U374" s="3">
        <f t="shared" si="39"/>
        <v>0.25415809655516103</v>
      </c>
      <c r="V374" s="5">
        <f t="shared" si="40"/>
        <v>11.254902189061903</v>
      </c>
    </row>
    <row r="375" spans="1:22" x14ac:dyDescent="0.3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t="s">
        <v>26</v>
      </c>
      <c r="G375" t="s">
        <v>27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  <c r="P375" s="2">
        <f t="shared" si="35"/>
        <v>2.1928221621226519E-2</v>
      </c>
      <c r="Q375" s="3">
        <f t="shared" si="36"/>
        <v>1.4941666624999999</v>
      </c>
      <c r="R375" s="4">
        <f t="shared" si="41"/>
        <v>8.3333333333333329E-2</v>
      </c>
      <c r="S375" s="3">
        <f t="shared" si="37"/>
        <v>17.929999949999999</v>
      </c>
      <c r="T375" s="4">
        <f t="shared" si="38"/>
        <v>1</v>
      </c>
      <c r="U375" s="3">
        <f t="shared" si="39"/>
        <v>0.32764417714348365</v>
      </c>
      <c r="V375" s="5">
        <f t="shared" si="40"/>
        <v>1.7886224283006764</v>
      </c>
    </row>
    <row r="376" spans="1:22" x14ac:dyDescent="0.3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t="s">
        <v>22</v>
      </c>
      <c r="G376" t="s">
        <v>27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  <c r="P376" s="2">
        <f t="shared" si="35"/>
        <v>2.1249468763280918E-2</v>
      </c>
      <c r="Q376" s="3">
        <f t="shared" si="36"/>
        <v>1.2200000289999999</v>
      </c>
      <c r="R376" s="4">
        <f t="shared" si="41"/>
        <v>0</v>
      </c>
      <c r="S376" s="3">
        <f t="shared" si="37"/>
        <v>0</v>
      </c>
      <c r="T376" s="4">
        <f t="shared" si="38"/>
        <v>0</v>
      </c>
      <c r="U376" s="3">
        <f t="shared" si="39"/>
        <v>0.25924352507437315</v>
      </c>
      <c r="V376" s="5">
        <f t="shared" si="40"/>
        <v>-1</v>
      </c>
    </row>
    <row r="377" spans="1:22" x14ac:dyDescent="0.3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t="s">
        <v>25</v>
      </c>
      <c r="G377" t="s">
        <v>27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  <c r="P377" s="2">
        <f t="shared" si="35"/>
        <v>3.6075036075036072E-2</v>
      </c>
      <c r="Q377" s="3">
        <f t="shared" si="36"/>
        <v>1.523333311</v>
      </c>
      <c r="R377" s="4">
        <f t="shared" si="41"/>
        <v>0.33333333333333331</v>
      </c>
      <c r="S377" s="3">
        <f t="shared" si="37"/>
        <v>4.5699999330000001</v>
      </c>
      <c r="T377" s="4">
        <f t="shared" si="38"/>
        <v>1</v>
      </c>
      <c r="U377" s="3">
        <f t="shared" si="39"/>
        <v>0.54954304148629152</v>
      </c>
      <c r="V377" s="5">
        <f t="shared" si="40"/>
        <v>9.9409191976020974</v>
      </c>
    </row>
    <row r="378" spans="1:22" x14ac:dyDescent="0.3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t="s">
        <v>25</v>
      </c>
      <c r="G378" t="s">
        <v>27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  <c r="P378" s="2">
        <f t="shared" si="35"/>
        <v>3.4518467380048323E-2</v>
      </c>
      <c r="Q378" s="3">
        <f t="shared" si="36"/>
        <v>1.1349999904999999</v>
      </c>
      <c r="R378" s="4">
        <f t="shared" si="41"/>
        <v>0</v>
      </c>
      <c r="S378" s="3">
        <f t="shared" si="37"/>
        <v>0</v>
      </c>
      <c r="T378" s="4">
        <f t="shared" si="38"/>
        <v>0</v>
      </c>
      <c r="U378" s="3">
        <f t="shared" si="39"/>
        <v>0.39178460148429406</v>
      </c>
      <c r="V378" s="5">
        <f t="shared" si="40"/>
        <v>-1</v>
      </c>
    </row>
    <row r="379" spans="1:22" x14ac:dyDescent="0.3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t="s">
        <v>25</v>
      </c>
      <c r="G379" t="s">
        <v>27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  <c r="P379" s="2">
        <f t="shared" si="35"/>
        <v>2.0777062123415749E-2</v>
      </c>
      <c r="Q379" s="3">
        <f t="shared" si="36"/>
        <v>1.0299999710000001</v>
      </c>
      <c r="R379" s="4">
        <f t="shared" si="41"/>
        <v>0</v>
      </c>
      <c r="S379" s="3">
        <f t="shared" si="37"/>
        <v>0</v>
      </c>
      <c r="T379" s="4">
        <f t="shared" si="38"/>
        <v>0</v>
      </c>
      <c r="U379" s="3">
        <f t="shared" si="39"/>
        <v>0.21400373384583421</v>
      </c>
      <c r="V379" s="5">
        <f t="shared" si="40"/>
        <v>-1</v>
      </c>
    </row>
    <row r="380" spans="1:22" x14ac:dyDescent="0.3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t="s">
        <v>25</v>
      </c>
      <c r="G380" t="s">
        <v>27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  <c r="P380" s="2">
        <f t="shared" si="35"/>
        <v>3.0486017470833088E-2</v>
      </c>
      <c r="Q380" s="3">
        <f t="shared" si="36"/>
        <v>1.3896153980769232</v>
      </c>
      <c r="R380" s="4">
        <f t="shared" si="41"/>
        <v>0</v>
      </c>
      <c r="S380" s="3">
        <f t="shared" si="37"/>
        <v>0</v>
      </c>
      <c r="T380" s="4">
        <f t="shared" si="38"/>
        <v>0</v>
      </c>
      <c r="U380" s="3">
        <f t="shared" si="39"/>
        <v>0.42363839303511758</v>
      </c>
      <c r="V380" s="5">
        <f t="shared" si="40"/>
        <v>-1</v>
      </c>
    </row>
    <row r="381" spans="1:22" x14ac:dyDescent="0.3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t="s">
        <v>25</v>
      </c>
      <c r="G381" t="s">
        <v>27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  <c r="P381" s="2">
        <f t="shared" si="35"/>
        <v>1.7126220243192325E-2</v>
      </c>
      <c r="Q381" s="3">
        <f t="shared" si="36"/>
        <v>1.3700000050000001</v>
      </c>
      <c r="R381" s="4">
        <f t="shared" si="41"/>
        <v>0</v>
      </c>
      <c r="S381" s="3">
        <f t="shared" si="37"/>
        <v>0</v>
      </c>
      <c r="T381" s="4">
        <f t="shared" si="38"/>
        <v>0</v>
      </c>
      <c r="U381" s="3">
        <f t="shared" si="39"/>
        <v>0.23462921818804591</v>
      </c>
      <c r="V381" s="5">
        <f t="shared" si="40"/>
        <v>-1</v>
      </c>
    </row>
    <row r="382" spans="1:22" x14ac:dyDescent="0.3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t="s">
        <v>25</v>
      </c>
      <c r="G382" t="s">
        <v>27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  <c r="P382" s="2">
        <f t="shared" si="35"/>
        <v>1.7067759003242877E-2</v>
      </c>
      <c r="Q382" s="3">
        <f t="shared" si="36"/>
        <v>1.539999962</v>
      </c>
      <c r="R382" s="4">
        <f t="shared" si="41"/>
        <v>0</v>
      </c>
      <c r="S382" s="3">
        <f t="shared" si="37"/>
        <v>0</v>
      </c>
      <c r="T382" s="4">
        <f t="shared" si="38"/>
        <v>0</v>
      </c>
      <c r="U382" s="3">
        <f t="shared" si="39"/>
        <v>0.26284348216419184</v>
      </c>
      <c r="V382" s="5">
        <f t="shared" si="40"/>
        <v>-1</v>
      </c>
    </row>
    <row r="383" spans="1:22" x14ac:dyDescent="0.3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t="s">
        <v>25</v>
      </c>
      <c r="G383" t="s">
        <v>27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  <c r="P383" s="2">
        <f t="shared" si="35"/>
        <v>2.4982025128261375E-2</v>
      </c>
      <c r="Q383" s="3">
        <f t="shared" si="36"/>
        <v>1.4407317056097562</v>
      </c>
      <c r="R383" s="4">
        <f t="shared" si="41"/>
        <v>0</v>
      </c>
      <c r="S383" s="3">
        <f t="shared" si="37"/>
        <v>0</v>
      </c>
      <c r="T383" s="4">
        <f t="shared" si="38"/>
        <v>0</v>
      </c>
      <c r="U383" s="3">
        <f t="shared" si="39"/>
        <v>0.35992395672625793</v>
      </c>
      <c r="V383" s="5">
        <f t="shared" si="40"/>
        <v>-1</v>
      </c>
    </row>
    <row r="384" spans="1:22" x14ac:dyDescent="0.3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t="s">
        <v>24</v>
      </c>
      <c r="G384" t="s">
        <v>27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  <c r="P384" s="2">
        <f t="shared" si="35"/>
        <v>3.2905561039815727E-2</v>
      </c>
      <c r="Q384" s="3">
        <f t="shared" si="36"/>
        <v>1.301666677</v>
      </c>
      <c r="R384" s="4">
        <f t="shared" si="41"/>
        <v>0</v>
      </c>
      <c r="S384" s="3">
        <f t="shared" si="37"/>
        <v>0</v>
      </c>
      <c r="T384" s="4">
        <f t="shared" si="38"/>
        <v>0</v>
      </c>
      <c r="U384" s="3">
        <f t="shared" si="39"/>
        <v>0.42832072293517609</v>
      </c>
      <c r="V384" s="5">
        <f t="shared" si="40"/>
        <v>-1</v>
      </c>
    </row>
    <row r="385" spans="1:22" x14ac:dyDescent="0.3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t="s">
        <v>24</v>
      </c>
      <c r="G385" t="s">
        <v>27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  <c r="P385" s="2">
        <f t="shared" si="35"/>
        <v>0</v>
      </c>
      <c r="Q385" s="3">
        <f t="shared" si="36"/>
        <v>0</v>
      </c>
      <c r="R385" s="4">
        <f t="shared" si="41"/>
        <v>0</v>
      </c>
      <c r="S385" s="3">
        <f t="shared" si="37"/>
        <v>0</v>
      </c>
      <c r="T385" s="4">
        <f t="shared" si="38"/>
        <v>0</v>
      </c>
      <c r="U385" s="3">
        <f t="shared" si="39"/>
        <v>0</v>
      </c>
      <c r="V385" s="5">
        <f t="shared" si="40"/>
        <v>0</v>
      </c>
    </row>
    <row r="386" spans="1:22" x14ac:dyDescent="0.3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t="s">
        <v>24</v>
      </c>
      <c r="G386" t="s">
        <v>27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  <c r="P386" s="2">
        <f t="shared" ref="P386:P449" si="42">IF(K386&gt;0, (L386/K386)*100, 0)</f>
        <v>2.7145881969705195E-2</v>
      </c>
      <c r="Q386" s="3">
        <f t="shared" ref="Q386:Q449" si="43">IF(L386&gt;0, M386/L386, 0)</f>
        <v>1.425</v>
      </c>
      <c r="R386" s="4">
        <f t="shared" si="41"/>
        <v>0</v>
      </c>
      <c r="S386" s="3">
        <f t="shared" ref="S386:S449" si="44">IF(O386&gt;0, M386/O386, 0)</f>
        <v>0</v>
      </c>
      <c r="T386" s="4">
        <f t="shared" ref="T386:T449" si="45">IF(N386&gt;0, O386/N386, 0)</f>
        <v>0</v>
      </c>
      <c r="U386" s="3">
        <f t="shared" ref="U386:U449" si="46">IF(K386&gt;0, (M386/K386)*1000, 0)</f>
        <v>0.38682881806829905</v>
      </c>
      <c r="V386" s="5">
        <f t="shared" ref="V386:V449" si="47">IF(M386&gt;0, ((O386*50)-M386)/M386, 0)</f>
        <v>-1</v>
      </c>
    </row>
    <row r="387" spans="1:22" x14ac:dyDescent="0.3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t="s">
        <v>24</v>
      </c>
      <c r="G387" t="s">
        <v>27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  <c r="P387" s="2">
        <f t="shared" si="42"/>
        <v>3.8000108571738779E-2</v>
      </c>
      <c r="Q387" s="3">
        <f t="shared" si="43"/>
        <v>1.4399999885714287</v>
      </c>
      <c r="R387" s="4">
        <f t="shared" ref="R387:R450" si="48">IF(L387&gt;0, O387/L387, 0)</f>
        <v>0</v>
      </c>
      <c r="S387" s="3">
        <f t="shared" si="44"/>
        <v>0</v>
      </c>
      <c r="T387" s="4">
        <f t="shared" si="45"/>
        <v>0</v>
      </c>
      <c r="U387" s="3">
        <f t="shared" si="46"/>
        <v>0.54720155909016888</v>
      </c>
      <c r="V387" s="5">
        <f t="shared" si="47"/>
        <v>-1</v>
      </c>
    </row>
    <row r="388" spans="1:22" x14ac:dyDescent="0.3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t="s">
        <v>24</v>
      </c>
      <c r="G388" t="s">
        <v>27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  <c r="P388" s="2">
        <f t="shared" si="42"/>
        <v>2.9741311288345049E-2</v>
      </c>
      <c r="Q388" s="3">
        <f t="shared" si="43"/>
        <v>1.3873469342857143</v>
      </c>
      <c r="R388" s="4">
        <f t="shared" si="48"/>
        <v>2.0408163265306121E-2</v>
      </c>
      <c r="S388" s="3">
        <f t="shared" si="44"/>
        <v>67.97999978</v>
      </c>
      <c r="T388" s="4">
        <f t="shared" si="45"/>
        <v>0.5</v>
      </c>
      <c r="U388" s="3">
        <f t="shared" si="46"/>
        <v>0.4126151703752261</v>
      </c>
      <c r="V388" s="5">
        <f t="shared" si="47"/>
        <v>-0.26448955337139896</v>
      </c>
    </row>
    <row r="389" spans="1:22" x14ac:dyDescent="0.3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t="s">
        <v>24</v>
      </c>
      <c r="G389" t="s">
        <v>27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  <c r="P389" s="2">
        <f t="shared" si="42"/>
        <v>1.3424620754463686E-2</v>
      </c>
      <c r="Q389" s="3">
        <f t="shared" si="43"/>
        <v>1.6399999860000001</v>
      </c>
      <c r="R389" s="4">
        <f t="shared" si="48"/>
        <v>1</v>
      </c>
      <c r="S389" s="3">
        <f t="shared" si="44"/>
        <v>1.6399999860000001</v>
      </c>
      <c r="T389" s="4">
        <f t="shared" si="45"/>
        <v>1</v>
      </c>
      <c r="U389" s="3">
        <f t="shared" si="46"/>
        <v>0.22016377849375754</v>
      </c>
      <c r="V389" s="5">
        <f t="shared" si="47"/>
        <v>29.487805138310531</v>
      </c>
    </row>
    <row r="390" spans="1:22" x14ac:dyDescent="0.3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t="s">
        <v>24</v>
      </c>
      <c r="G390" t="s">
        <v>27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  <c r="P390" s="2">
        <f t="shared" si="42"/>
        <v>1.5566625155666251E-2</v>
      </c>
      <c r="Q390" s="3">
        <f t="shared" si="43"/>
        <v>0.52999997099999996</v>
      </c>
      <c r="R390" s="4">
        <f t="shared" si="48"/>
        <v>0</v>
      </c>
      <c r="S390" s="3">
        <f t="shared" si="44"/>
        <v>0</v>
      </c>
      <c r="T390" s="4">
        <f t="shared" si="45"/>
        <v>0</v>
      </c>
      <c r="U390" s="3">
        <f t="shared" si="46"/>
        <v>8.2503108810709838E-2</v>
      </c>
      <c r="V390" s="5">
        <f t="shared" si="47"/>
        <v>-1</v>
      </c>
    </row>
    <row r="391" spans="1:22" x14ac:dyDescent="0.3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t="s">
        <v>22</v>
      </c>
      <c r="G391" t="s">
        <v>23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  <c r="P391" s="2">
        <f t="shared" si="42"/>
        <v>0</v>
      </c>
      <c r="Q391" s="3">
        <f t="shared" si="43"/>
        <v>0</v>
      </c>
      <c r="R391" s="4">
        <f t="shared" si="48"/>
        <v>0</v>
      </c>
      <c r="S391" s="3">
        <f t="shared" si="44"/>
        <v>0</v>
      </c>
      <c r="T391" s="4">
        <f t="shared" si="45"/>
        <v>0</v>
      </c>
      <c r="U391" s="3">
        <f t="shared" si="46"/>
        <v>0</v>
      </c>
      <c r="V391" s="5">
        <f t="shared" si="47"/>
        <v>0</v>
      </c>
    </row>
    <row r="392" spans="1:22" x14ac:dyDescent="0.3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t="s">
        <v>24</v>
      </c>
      <c r="G392" t="s">
        <v>23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  <c r="P392" s="2">
        <f t="shared" si="42"/>
        <v>0</v>
      </c>
      <c r="Q392" s="3">
        <f t="shared" si="43"/>
        <v>0</v>
      </c>
      <c r="R392" s="4">
        <f t="shared" si="48"/>
        <v>0</v>
      </c>
      <c r="S392" s="3">
        <f t="shared" si="44"/>
        <v>0</v>
      </c>
      <c r="T392" s="4">
        <f t="shared" si="45"/>
        <v>0</v>
      </c>
      <c r="U392" s="3">
        <f t="shared" si="46"/>
        <v>0</v>
      </c>
      <c r="V392" s="5">
        <f t="shared" si="47"/>
        <v>0</v>
      </c>
    </row>
    <row r="393" spans="1:22" x14ac:dyDescent="0.3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t="s">
        <v>24</v>
      </c>
      <c r="G393" t="s">
        <v>23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  <c r="P393" s="2">
        <f t="shared" si="42"/>
        <v>1.5595757953836557E-2</v>
      </c>
      <c r="Q393" s="3">
        <f t="shared" si="43"/>
        <v>1.3700000050000001</v>
      </c>
      <c r="R393" s="4">
        <f t="shared" si="48"/>
        <v>0</v>
      </c>
      <c r="S393" s="3">
        <f t="shared" si="44"/>
        <v>0</v>
      </c>
      <c r="T393" s="4">
        <f t="shared" si="45"/>
        <v>0</v>
      </c>
      <c r="U393" s="3">
        <f t="shared" si="46"/>
        <v>0.21366188474734873</v>
      </c>
      <c r="V393" s="5">
        <f t="shared" si="47"/>
        <v>-1</v>
      </c>
    </row>
    <row r="394" spans="1:22" x14ac:dyDescent="0.3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t="s">
        <v>22</v>
      </c>
      <c r="G394" t="s">
        <v>27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  <c r="P394" s="2">
        <f t="shared" si="42"/>
        <v>1.984126984126984E-2</v>
      </c>
      <c r="Q394" s="3">
        <f t="shared" si="43"/>
        <v>1.440000057</v>
      </c>
      <c r="R394" s="4">
        <f t="shared" si="48"/>
        <v>0</v>
      </c>
      <c r="S394" s="3">
        <f t="shared" si="44"/>
        <v>0</v>
      </c>
      <c r="T394" s="4">
        <f t="shared" si="45"/>
        <v>0</v>
      </c>
      <c r="U394" s="3">
        <f t="shared" si="46"/>
        <v>0.28571429702380952</v>
      </c>
      <c r="V394" s="5">
        <f t="shared" si="47"/>
        <v>-1</v>
      </c>
    </row>
    <row r="395" spans="1:22" x14ac:dyDescent="0.3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t="s">
        <v>22</v>
      </c>
      <c r="G395" t="s">
        <v>27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  <c r="P395" s="2">
        <f t="shared" si="42"/>
        <v>0</v>
      </c>
      <c r="Q395" s="3">
        <f t="shared" si="43"/>
        <v>0</v>
      </c>
      <c r="R395" s="4">
        <f t="shared" si="48"/>
        <v>0</v>
      </c>
      <c r="S395" s="3">
        <f t="shared" si="44"/>
        <v>0</v>
      </c>
      <c r="T395" s="4">
        <f t="shared" si="45"/>
        <v>0</v>
      </c>
      <c r="U395" s="3">
        <f t="shared" si="46"/>
        <v>0</v>
      </c>
      <c r="V395" s="5">
        <f t="shared" si="47"/>
        <v>0</v>
      </c>
    </row>
    <row r="396" spans="1:22" x14ac:dyDescent="0.3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t="s">
        <v>22</v>
      </c>
      <c r="G396" t="s">
        <v>27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  <c r="P396" s="2">
        <f t="shared" si="42"/>
        <v>0</v>
      </c>
      <c r="Q396" s="3">
        <f t="shared" si="43"/>
        <v>0</v>
      </c>
      <c r="R396" s="4">
        <f t="shared" si="48"/>
        <v>0</v>
      </c>
      <c r="S396" s="3">
        <f t="shared" si="44"/>
        <v>0</v>
      </c>
      <c r="T396" s="4">
        <f t="shared" si="45"/>
        <v>0</v>
      </c>
      <c r="U396" s="3">
        <f t="shared" si="46"/>
        <v>0</v>
      </c>
      <c r="V396" s="5">
        <f t="shared" si="47"/>
        <v>0</v>
      </c>
    </row>
    <row r="397" spans="1:22" x14ac:dyDescent="0.3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t="s">
        <v>24</v>
      </c>
      <c r="G397" t="s">
        <v>23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  <c r="P397" s="2">
        <f t="shared" si="42"/>
        <v>3.6585365853658534E-2</v>
      </c>
      <c r="Q397" s="3">
        <f t="shared" si="43"/>
        <v>1.3066666523333332</v>
      </c>
      <c r="R397" s="4">
        <f t="shared" si="48"/>
        <v>0</v>
      </c>
      <c r="S397" s="3">
        <f t="shared" si="44"/>
        <v>0</v>
      </c>
      <c r="T397" s="4">
        <f t="shared" si="45"/>
        <v>0</v>
      </c>
      <c r="U397" s="3">
        <f t="shared" si="46"/>
        <v>0.47804877524390244</v>
      </c>
      <c r="V397" s="5">
        <f t="shared" si="47"/>
        <v>-1</v>
      </c>
    </row>
    <row r="398" spans="1:22" x14ac:dyDescent="0.3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t="s">
        <v>26</v>
      </c>
      <c r="G398" t="s">
        <v>27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  <c r="P398" s="2">
        <f t="shared" si="42"/>
        <v>3.2788016842686549E-2</v>
      </c>
      <c r="Q398" s="3">
        <f t="shared" si="43"/>
        <v>1.3010526331578949</v>
      </c>
      <c r="R398" s="4">
        <f t="shared" si="48"/>
        <v>0</v>
      </c>
      <c r="S398" s="3">
        <f t="shared" si="44"/>
        <v>0</v>
      </c>
      <c r="T398" s="4">
        <f t="shared" si="45"/>
        <v>0</v>
      </c>
      <c r="U398" s="3">
        <f t="shared" si="46"/>
        <v>0.42658935649202734</v>
      </c>
      <c r="V398" s="5">
        <f t="shared" si="47"/>
        <v>-1</v>
      </c>
    </row>
    <row r="399" spans="1:22" x14ac:dyDescent="0.3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t="s">
        <v>24</v>
      </c>
      <c r="G399" t="s">
        <v>27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  <c r="P399" s="2">
        <f t="shared" si="42"/>
        <v>9.8173964264677005E-3</v>
      </c>
      <c r="Q399" s="3">
        <f t="shared" si="43"/>
        <v>1.230000019</v>
      </c>
      <c r="R399" s="4">
        <f t="shared" si="48"/>
        <v>1</v>
      </c>
      <c r="S399" s="3">
        <f t="shared" si="44"/>
        <v>1.230000019</v>
      </c>
      <c r="T399" s="4">
        <f t="shared" si="45"/>
        <v>1</v>
      </c>
      <c r="U399" s="3">
        <f t="shared" si="46"/>
        <v>0.12075397791085804</v>
      </c>
      <c r="V399" s="5">
        <f t="shared" si="47"/>
        <v>39.650405876131941</v>
      </c>
    </row>
    <row r="400" spans="1:22" x14ac:dyDescent="0.3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t="s">
        <v>22</v>
      </c>
      <c r="G400" t="s">
        <v>23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  <c r="P400" s="2">
        <f t="shared" si="42"/>
        <v>3.2844317932997594E-2</v>
      </c>
      <c r="Q400" s="3">
        <f t="shared" si="43"/>
        <v>1.3933333556666667</v>
      </c>
      <c r="R400" s="4">
        <f t="shared" si="48"/>
        <v>0</v>
      </c>
      <c r="S400" s="3">
        <f t="shared" si="44"/>
        <v>0</v>
      </c>
      <c r="T400" s="4">
        <f t="shared" si="45"/>
        <v>0</v>
      </c>
      <c r="U400" s="3">
        <f t="shared" si="46"/>
        <v>0.45763083720166409</v>
      </c>
      <c r="V400" s="5">
        <f t="shared" si="47"/>
        <v>-1</v>
      </c>
    </row>
    <row r="401" spans="1:22" x14ac:dyDescent="0.3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t="s">
        <v>22</v>
      </c>
      <c r="G401" t="s">
        <v>23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  <c r="P401" s="2">
        <f t="shared" si="42"/>
        <v>2.9542097488921712E-2</v>
      </c>
      <c r="Q401" s="3">
        <f t="shared" si="43"/>
        <v>1.440000057</v>
      </c>
      <c r="R401" s="4">
        <f t="shared" si="48"/>
        <v>1</v>
      </c>
      <c r="S401" s="3">
        <f t="shared" si="44"/>
        <v>1.440000057</v>
      </c>
      <c r="T401" s="4">
        <f t="shared" si="45"/>
        <v>1</v>
      </c>
      <c r="U401" s="3">
        <f t="shared" si="46"/>
        <v>0.42540622067946826</v>
      </c>
      <c r="V401" s="5">
        <f t="shared" si="47"/>
        <v>33.722220847800983</v>
      </c>
    </row>
    <row r="402" spans="1:22" x14ac:dyDescent="0.3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t="s">
        <v>26</v>
      </c>
      <c r="G402" t="s">
        <v>27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  <c r="P402" s="2">
        <f t="shared" si="42"/>
        <v>0</v>
      </c>
      <c r="Q402" s="3">
        <f t="shared" si="43"/>
        <v>0</v>
      </c>
      <c r="R402" s="4">
        <f t="shared" si="48"/>
        <v>0</v>
      </c>
      <c r="S402" s="3">
        <f t="shared" si="44"/>
        <v>0</v>
      </c>
      <c r="T402" s="4">
        <f t="shared" si="45"/>
        <v>0</v>
      </c>
      <c r="U402" s="3">
        <f t="shared" si="46"/>
        <v>0</v>
      </c>
      <c r="V402" s="5">
        <f t="shared" si="47"/>
        <v>0</v>
      </c>
    </row>
    <row r="403" spans="1:22" x14ac:dyDescent="0.3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t="s">
        <v>22</v>
      </c>
      <c r="G403" t="s">
        <v>23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  <c r="P403" s="2">
        <f t="shared" si="42"/>
        <v>0</v>
      </c>
      <c r="Q403" s="3">
        <f t="shared" si="43"/>
        <v>0</v>
      </c>
      <c r="R403" s="4">
        <f t="shared" si="48"/>
        <v>0</v>
      </c>
      <c r="S403" s="3">
        <f t="shared" si="44"/>
        <v>0</v>
      </c>
      <c r="T403" s="4">
        <f t="shared" si="45"/>
        <v>1</v>
      </c>
      <c r="U403" s="3">
        <f t="shared" si="46"/>
        <v>0</v>
      </c>
      <c r="V403" s="5">
        <f t="shared" si="47"/>
        <v>0</v>
      </c>
    </row>
    <row r="404" spans="1:22" x14ac:dyDescent="0.3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t="s">
        <v>22</v>
      </c>
      <c r="G404" t="s">
        <v>23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  <c r="P404" s="2">
        <f t="shared" si="42"/>
        <v>1.6281341582546401E-2</v>
      </c>
      <c r="Q404" s="3">
        <f t="shared" si="43"/>
        <v>1.3300000430000001</v>
      </c>
      <c r="R404" s="4">
        <f t="shared" si="48"/>
        <v>0</v>
      </c>
      <c r="S404" s="3">
        <f t="shared" si="44"/>
        <v>0</v>
      </c>
      <c r="T404" s="4">
        <f t="shared" si="45"/>
        <v>0</v>
      </c>
      <c r="U404" s="3">
        <f t="shared" si="46"/>
        <v>0.21654185004884402</v>
      </c>
      <c r="V404" s="5">
        <f t="shared" si="47"/>
        <v>-1</v>
      </c>
    </row>
    <row r="405" spans="1:22" x14ac:dyDescent="0.3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t="s">
        <v>22</v>
      </c>
      <c r="G405" t="s">
        <v>27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  <c r="P405" s="2">
        <f t="shared" si="42"/>
        <v>0</v>
      </c>
      <c r="Q405" s="3">
        <f t="shared" si="43"/>
        <v>0</v>
      </c>
      <c r="R405" s="4">
        <f t="shared" si="48"/>
        <v>0</v>
      </c>
      <c r="S405" s="3">
        <f t="shared" si="44"/>
        <v>0</v>
      </c>
      <c r="T405" s="4">
        <f t="shared" si="45"/>
        <v>0</v>
      </c>
      <c r="U405" s="3">
        <f t="shared" si="46"/>
        <v>0</v>
      </c>
      <c r="V405" s="5">
        <f t="shared" si="47"/>
        <v>0</v>
      </c>
    </row>
    <row r="406" spans="1:22" x14ac:dyDescent="0.3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t="s">
        <v>22</v>
      </c>
      <c r="G406" t="s">
        <v>23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  <c r="P406" s="2">
        <f t="shared" si="42"/>
        <v>3.2815576460293157E-2</v>
      </c>
      <c r="Q406" s="3">
        <f t="shared" si="43"/>
        <v>1.2499999603333334</v>
      </c>
      <c r="R406" s="4">
        <f t="shared" si="48"/>
        <v>0</v>
      </c>
      <c r="S406" s="3">
        <f t="shared" si="44"/>
        <v>0</v>
      </c>
      <c r="T406" s="4">
        <f t="shared" si="45"/>
        <v>0</v>
      </c>
      <c r="U406" s="3">
        <f t="shared" si="46"/>
        <v>0.41019469273681908</v>
      </c>
      <c r="V406" s="5">
        <f t="shared" si="47"/>
        <v>-1</v>
      </c>
    </row>
    <row r="407" spans="1:22" x14ac:dyDescent="0.3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t="s">
        <v>22</v>
      </c>
      <c r="G407" t="s">
        <v>23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  <c r="P407" s="2">
        <f t="shared" si="42"/>
        <v>3.6529680365296802E-2</v>
      </c>
      <c r="Q407" s="3">
        <f t="shared" si="43"/>
        <v>1.3650000095000001</v>
      </c>
      <c r="R407" s="4">
        <f t="shared" si="48"/>
        <v>0.5</v>
      </c>
      <c r="S407" s="3">
        <f t="shared" si="44"/>
        <v>2.7300000190000002</v>
      </c>
      <c r="T407" s="4">
        <f t="shared" si="45"/>
        <v>1</v>
      </c>
      <c r="U407" s="3">
        <f t="shared" si="46"/>
        <v>0.49863014045662107</v>
      </c>
      <c r="V407" s="5">
        <f t="shared" si="47"/>
        <v>17.315018187551154</v>
      </c>
    </row>
    <row r="408" spans="1:22" x14ac:dyDescent="0.3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t="s">
        <v>22</v>
      </c>
      <c r="G408" t="s">
        <v>27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  <c r="P408" s="2">
        <f t="shared" si="42"/>
        <v>2.42306760358614E-2</v>
      </c>
      <c r="Q408" s="3">
        <f t="shared" si="43"/>
        <v>1.1600000260000001</v>
      </c>
      <c r="R408" s="4">
        <f t="shared" si="48"/>
        <v>0.5</v>
      </c>
      <c r="S408" s="3">
        <f t="shared" si="44"/>
        <v>2.3200000520000001</v>
      </c>
      <c r="T408" s="4">
        <f t="shared" si="45"/>
        <v>1</v>
      </c>
      <c r="U408" s="3">
        <f t="shared" si="46"/>
        <v>0.28107584831596805</v>
      </c>
      <c r="V408" s="5">
        <f t="shared" si="47"/>
        <v>20.551723654875158</v>
      </c>
    </row>
    <row r="409" spans="1:22" x14ac:dyDescent="0.3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t="s">
        <v>22</v>
      </c>
      <c r="G409" t="s">
        <v>27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  <c r="P409" s="2">
        <f t="shared" si="42"/>
        <v>1.7531556802244039E-2</v>
      </c>
      <c r="Q409" s="3">
        <f t="shared" si="43"/>
        <v>1.3200000519999999</v>
      </c>
      <c r="R409" s="4">
        <f t="shared" si="48"/>
        <v>0</v>
      </c>
      <c r="S409" s="3">
        <f t="shared" si="44"/>
        <v>0</v>
      </c>
      <c r="T409" s="4">
        <f t="shared" si="45"/>
        <v>0</v>
      </c>
      <c r="U409" s="3">
        <f t="shared" si="46"/>
        <v>0.23141655890603086</v>
      </c>
      <c r="V409" s="5">
        <f t="shared" si="47"/>
        <v>-1</v>
      </c>
    </row>
    <row r="410" spans="1:22" x14ac:dyDescent="0.3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t="s">
        <v>22</v>
      </c>
      <c r="G410" t="s">
        <v>27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  <c r="P410" s="2">
        <f t="shared" si="42"/>
        <v>0</v>
      </c>
      <c r="Q410" s="3">
        <f t="shared" si="43"/>
        <v>0</v>
      </c>
      <c r="R410" s="4">
        <f t="shared" si="48"/>
        <v>0</v>
      </c>
      <c r="S410" s="3">
        <f t="shared" si="44"/>
        <v>0</v>
      </c>
      <c r="T410" s="4">
        <f t="shared" si="45"/>
        <v>0</v>
      </c>
      <c r="U410" s="3">
        <f t="shared" si="46"/>
        <v>0</v>
      </c>
      <c r="V410" s="5">
        <f t="shared" si="47"/>
        <v>0</v>
      </c>
    </row>
    <row r="411" spans="1:22" x14ac:dyDescent="0.3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t="s">
        <v>22</v>
      </c>
      <c r="G411" t="s">
        <v>27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  <c r="P411" s="2">
        <f t="shared" si="42"/>
        <v>1.3202017268238586E-2</v>
      </c>
      <c r="Q411" s="3">
        <f t="shared" si="43"/>
        <v>1.2339999913999999</v>
      </c>
      <c r="R411" s="4">
        <f t="shared" si="48"/>
        <v>0.2</v>
      </c>
      <c r="S411" s="3">
        <f t="shared" si="44"/>
        <v>6.1699999569999999</v>
      </c>
      <c r="T411" s="4">
        <f t="shared" si="45"/>
        <v>1</v>
      </c>
      <c r="U411" s="3">
        <f t="shared" si="46"/>
        <v>0.16291289195469066</v>
      </c>
      <c r="V411" s="5">
        <f t="shared" si="47"/>
        <v>7.1037277712253308</v>
      </c>
    </row>
    <row r="412" spans="1:22" x14ac:dyDescent="0.3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t="s">
        <v>22</v>
      </c>
      <c r="G412" t="s">
        <v>27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  <c r="P412" s="2">
        <f t="shared" si="42"/>
        <v>1.5830925713381093E-2</v>
      </c>
      <c r="Q412" s="3">
        <f t="shared" si="43"/>
        <v>1.2350000142499999</v>
      </c>
      <c r="R412" s="4">
        <f t="shared" si="48"/>
        <v>0.25</v>
      </c>
      <c r="S412" s="3">
        <f t="shared" si="44"/>
        <v>4.9400000569999998</v>
      </c>
      <c r="T412" s="4">
        <f t="shared" si="45"/>
        <v>0.5</v>
      </c>
      <c r="U412" s="3">
        <f t="shared" si="46"/>
        <v>0.19551193481616336</v>
      </c>
      <c r="V412" s="5">
        <f t="shared" si="47"/>
        <v>9.1214573730924968</v>
      </c>
    </row>
    <row r="413" spans="1:22" x14ac:dyDescent="0.3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t="s">
        <v>22</v>
      </c>
      <c r="G413" t="s">
        <v>27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  <c r="P413" s="2">
        <f t="shared" si="42"/>
        <v>0</v>
      </c>
      <c r="Q413" s="3">
        <f t="shared" si="43"/>
        <v>0</v>
      </c>
      <c r="R413" s="4">
        <f t="shared" si="48"/>
        <v>0</v>
      </c>
      <c r="S413" s="3">
        <f t="shared" si="44"/>
        <v>0</v>
      </c>
      <c r="T413" s="4">
        <f t="shared" si="45"/>
        <v>0</v>
      </c>
      <c r="U413" s="3">
        <f t="shared" si="46"/>
        <v>0</v>
      </c>
      <c r="V413" s="5">
        <f t="shared" si="47"/>
        <v>0</v>
      </c>
    </row>
    <row r="414" spans="1:22" x14ac:dyDescent="0.3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t="s">
        <v>22</v>
      </c>
      <c r="G414" t="s">
        <v>23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  <c r="P414" s="2">
        <f t="shared" si="42"/>
        <v>0</v>
      </c>
      <c r="Q414" s="3">
        <f t="shared" si="43"/>
        <v>0</v>
      </c>
      <c r="R414" s="4">
        <f t="shared" si="48"/>
        <v>0</v>
      </c>
      <c r="S414" s="3">
        <f t="shared" si="44"/>
        <v>0</v>
      </c>
      <c r="T414" s="4">
        <f t="shared" si="45"/>
        <v>0</v>
      </c>
      <c r="U414" s="3">
        <f t="shared" si="46"/>
        <v>0</v>
      </c>
      <c r="V414" s="5">
        <f t="shared" si="47"/>
        <v>0</v>
      </c>
    </row>
    <row r="415" spans="1:22" x14ac:dyDescent="0.3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t="s">
        <v>22</v>
      </c>
      <c r="G415" t="s">
        <v>23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  <c r="P415" s="2">
        <f t="shared" si="42"/>
        <v>0</v>
      </c>
      <c r="Q415" s="3">
        <f t="shared" si="43"/>
        <v>0</v>
      </c>
      <c r="R415" s="4">
        <f t="shared" si="48"/>
        <v>0</v>
      </c>
      <c r="S415" s="3">
        <f t="shared" si="44"/>
        <v>0</v>
      </c>
      <c r="T415" s="4">
        <f t="shared" si="45"/>
        <v>0</v>
      </c>
      <c r="U415" s="3">
        <f t="shared" si="46"/>
        <v>0</v>
      </c>
      <c r="V415" s="5">
        <f t="shared" si="47"/>
        <v>0</v>
      </c>
    </row>
    <row r="416" spans="1:22" x14ac:dyDescent="0.3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t="s">
        <v>25</v>
      </c>
      <c r="G416" t="s">
        <v>27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  <c r="P416" s="2">
        <f t="shared" si="42"/>
        <v>4.0591005033284625E-2</v>
      </c>
      <c r="Q416" s="3">
        <f t="shared" si="43"/>
        <v>1.2680000306000001</v>
      </c>
      <c r="R416" s="4">
        <f t="shared" si="48"/>
        <v>0.2</v>
      </c>
      <c r="S416" s="3">
        <f t="shared" si="44"/>
        <v>6.3400001530000001</v>
      </c>
      <c r="T416" s="4">
        <f t="shared" si="45"/>
        <v>1</v>
      </c>
      <c r="U416" s="3">
        <f t="shared" si="46"/>
        <v>0.5146939562428966</v>
      </c>
      <c r="V416" s="5">
        <f t="shared" si="47"/>
        <v>6.8864351409109501</v>
      </c>
    </row>
    <row r="417" spans="1:22" x14ac:dyDescent="0.3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t="s">
        <v>22</v>
      </c>
      <c r="G417" t="s">
        <v>27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  <c r="P417" s="2">
        <f t="shared" si="42"/>
        <v>2.090738030524775E-2</v>
      </c>
      <c r="Q417" s="3">
        <f t="shared" si="43"/>
        <v>0.86000001400000003</v>
      </c>
      <c r="R417" s="4">
        <f t="shared" si="48"/>
        <v>0</v>
      </c>
      <c r="S417" s="3">
        <f t="shared" si="44"/>
        <v>0</v>
      </c>
      <c r="T417" s="4">
        <f t="shared" si="45"/>
        <v>0</v>
      </c>
      <c r="U417" s="3">
        <f t="shared" si="46"/>
        <v>0.17980347355216392</v>
      </c>
      <c r="V417" s="5">
        <f t="shared" si="47"/>
        <v>-1</v>
      </c>
    </row>
    <row r="418" spans="1:22" x14ac:dyDescent="0.3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t="s">
        <v>22</v>
      </c>
      <c r="G418" t="s">
        <v>27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  <c r="P418" s="2">
        <f t="shared" si="42"/>
        <v>1.5444015444015444E-2</v>
      </c>
      <c r="Q418" s="3">
        <f t="shared" si="43"/>
        <v>1.3500000240000001</v>
      </c>
      <c r="R418" s="4">
        <f t="shared" si="48"/>
        <v>0</v>
      </c>
      <c r="S418" s="3">
        <f t="shared" si="44"/>
        <v>0</v>
      </c>
      <c r="T418" s="4">
        <f t="shared" si="45"/>
        <v>0</v>
      </c>
      <c r="U418" s="3">
        <f t="shared" si="46"/>
        <v>0.20849421220077222</v>
      </c>
      <c r="V418" s="5">
        <f t="shared" si="47"/>
        <v>-1</v>
      </c>
    </row>
    <row r="419" spans="1:22" x14ac:dyDescent="0.3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t="s">
        <v>26</v>
      </c>
      <c r="G419" t="s">
        <v>27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  <c r="P419" s="2">
        <f t="shared" si="42"/>
        <v>2.7730497810246894E-2</v>
      </c>
      <c r="Q419" s="3">
        <f t="shared" si="43"/>
        <v>1.3534483086206897</v>
      </c>
      <c r="R419" s="4">
        <f t="shared" si="48"/>
        <v>3.4482758620689655E-2</v>
      </c>
      <c r="S419" s="3">
        <f t="shared" si="44"/>
        <v>39.25000095</v>
      </c>
      <c r="T419" s="4">
        <f t="shared" si="45"/>
        <v>1</v>
      </c>
      <c r="U419" s="3">
        <f t="shared" si="46"/>
        <v>0.37531795358488401</v>
      </c>
      <c r="V419" s="5">
        <f t="shared" si="47"/>
        <v>0.27388531948557826</v>
      </c>
    </row>
    <row r="420" spans="1:22" x14ac:dyDescent="0.3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t="s">
        <v>26</v>
      </c>
      <c r="G420" t="s">
        <v>27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  <c r="P420" s="2">
        <f t="shared" si="42"/>
        <v>3.2675855513307983E-2</v>
      </c>
      <c r="Q420" s="3">
        <f t="shared" si="43"/>
        <v>1.1372727590909091</v>
      </c>
      <c r="R420" s="4">
        <f t="shared" si="48"/>
        <v>0</v>
      </c>
      <c r="S420" s="3">
        <f t="shared" si="44"/>
        <v>0</v>
      </c>
      <c r="T420" s="4">
        <f t="shared" si="45"/>
        <v>0</v>
      </c>
      <c r="U420" s="3">
        <f t="shared" si="46"/>
        <v>0.37161360355275669</v>
      </c>
      <c r="V420" s="5">
        <f t="shared" si="47"/>
        <v>-1</v>
      </c>
    </row>
    <row r="421" spans="1:22" x14ac:dyDescent="0.3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t="s">
        <v>25</v>
      </c>
      <c r="G421" t="s">
        <v>27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  <c r="P421" s="2">
        <f t="shared" si="42"/>
        <v>0</v>
      </c>
      <c r="Q421" s="3">
        <f t="shared" si="43"/>
        <v>0</v>
      </c>
      <c r="R421" s="4">
        <f t="shared" si="48"/>
        <v>0</v>
      </c>
      <c r="S421" s="3">
        <f t="shared" si="44"/>
        <v>0</v>
      </c>
      <c r="T421" s="4">
        <f t="shared" si="45"/>
        <v>0</v>
      </c>
      <c r="U421" s="3">
        <f t="shared" si="46"/>
        <v>0</v>
      </c>
      <c r="V421" s="5">
        <f t="shared" si="47"/>
        <v>0</v>
      </c>
    </row>
    <row r="422" spans="1:22" x14ac:dyDescent="0.3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t="s">
        <v>25</v>
      </c>
      <c r="G422" t="s">
        <v>27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  <c r="P422" s="2">
        <f t="shared" si="42"/>
        <v>4.0888646585798008E-2</v>
      </c>
      <c r="Q422" s="3">
        <f t="shared" si="43"/>
        <v>1.3599999746666667</v>
      </c>
      <c r="R422" s="4">
        <f t="shared" si="48"/>
        <v>0</v>
      </c>
      <c r="S422" s="3">
        <f t="shared" si="44"/>
        <v>0</v>
      </c>
      <c r="T422" s="4">
        <f t="shared" si="45"/>
        <v>0</v>
      </c>
      <c r="U422" s="3">
        <f t="shared" si="46"/>
        <v>0.55608558320839585</v>
      </c>
      <c r="V422" s="5">
        <f t="shared" si="47"/>
        <v>-1</v>
      </c>
    </row>
    <row r="423" spans="1:22" x14ac:dyDescent="0.3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t="s">
        <v>22</v>
      </c>
      <c r="G423" t="s">
        <v>23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  <c r="P423" s="2">
        <f t="shared" si="42"/>
        <v>0</v>
      </c>
      <c r="Q423" s="3">
        <f t="shared" si="43"/>
        <v>0</v>
      </c>
      <c r="R423" s="4">
        <f t="shared" si="48"/>
        <v>0</v>
      </c>
      <c r="S423" s="3">
        <f t="shared" si="44"/>
        <v>0</v>
      </c>
      <c r="T423" s="4">
        <f t="shared" si="45"/>
        <v>0</v>
      </c>
      <c r="U423" s="3">
        <f t="shared" si="46"/>
        <v>0</v>
      </c>
      <c r="V423" s="5">
        <f t="shared" si="47"/>
        <v>0</v>
      </c>
    </row>
    <row r="424" spans="1:22" x14ac:dyDescent="0.3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t="s">
        <v>25</v>
      </c>
      <c r="G424" t="s">
        <v>27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  <c r="P424" s="2">
        <f t="shared" si="42"/>
        <v>2.6680896478121666E-2</v>
      </c>
      <c r="Q424" s="3">
        <f t="shared" si="43"/>
        <v>1.5166667303333332</v>
      </c>
      <c r="R424" s="4">
        <f t="shared" si="48"/>
        <v>0</v>
      </c>
      <c r="S424" s="3">
        <f t="shared" si="44"/>
        <v>0</v>
      </c>
      <c r="T424" s="4">
        <f t="shared" si="45"/>
        <v>0</v>
      </c>
      <c r="U424" s="3">
        <f t="shared" si="46"/>
        <v>0.40466028023834932</v>
      </c>
      <c r="V424" s="5">
        <f t="shared" si="47"/>
        <v>-1</v>
      </c>
    </row>
    <row r="425" spans="1:22" x14ac:dyDescent="0.3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t="s">
        <v>22</v>
      </c>
      <c r="G425" t="s">
        <v>23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  <c r="P425" s="2">
        <f t="shared" si="42"/>
        <v>0</v>
      </c>
      <c r="Q425" s="3">
        <f t="shared" si="43"/>
        <v>0</v>
      </c>
      <c r="R425" s="4">
        <f t="shared" si="48"/>
        <v>0</v>
      </c>
      <c r="S425" s="3">
        <f t="shared" si="44"/>
        <v>0</v>
      </c>
      <c r="T425" s="4">
        <f t="shared" si="45"/>
        <v>0</v>
      </c>
      <c r="U425" s="3">
        <f t="shared" si="46"/>
        <v>0</v>
      </c>
      <c r="V425" s="5">
        <f t="shared" si="47"/>
        <v>0</v>
      </c>
    </row>
    <row r="426" spans="1:22" x14ac:dyDescent="0.3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t="s">
        <v>24</v>
      </c>
      <c r="G426" t="s">
        <v>27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  <c r="P426" s="2">
        <f t="shared" si="42"/>
        <v>2.4108834165662132E-2</v>
      </c>
      <c r="Q426" s="3">
        <f t="shared" si="43"/>
        <v>1.2728571551428571</v>
      </c>
      <c r="R426" s="4">
        <f t="shared" si="48"/>
        <v>0.2857142857142857</v>
      </c>
      <c r="S426" s="3">
        <f t="shared" si="44"/>
        <v>4.4550000430000001</v>
      </c>
      <c r="T426" s="4">
        <f t="shared" si="45"/>
        <v>1</v>
      </c>
      <c r="U426" s="3">
        <f t="shared" si="46"/>
        <v>0.30687102069915623</v>
      </c>
      <c r="V426" s="5">
        <f t="shared" si="47"/>
        <v>10.223344448349312</v>
      </c>
    </row>
    <row r="427" spans="1:22" x14ac:dyDescent="0.3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t="s">
        <v>24</v>
      </c>
      <c r="G427" t="s">
        <v>27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  <c r="P427" s="2">
        <f t="shared" si="42"/>
        <v>0</v>
      </c>
      <c r="Q427" s="3">
        <f t="shared" si="43"/>
        <v>0</v>
      </c>
      <c r="R427" s="4">
        <f t="shared" si="48"/>
        <v>0</v>
      </c>
      <c r="S427" s="3">
        <f t="shared" si="44"/>
        <v>0</v>
      </c>
      <c r="T427" s="4">
        <f t="shared" si="45"/>
        <v>0</v>
      </c>
      <c r="U427" s="3">
        <f t="shared" si="46"/>
        <v>0</v>
      </c>
      <c r="V427" s="5">
        <f t="shared" si="47"/>
        <v>0</v>
      </c>
    </row>
    <row r="428" spans="1:22" x14ac:dyDescent="0.3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t="s">
        <v>24</v>
      </c>
      <c r="G428" t="s">
        <v>27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  <c r="P428" s="2">
        <f t="shared" si="42"/>
        <v>1.5309246785058175E-2</v>
      </c>
      <c r="Q428" s="3">
        <f t="shared" si="43"/>
        <v>1.6100000139999999</v>
      </c>
      <c r="R428" s="4">
        <f t="shared" si="48"/>
        <v>0</v>
      </c>
      <c r="S428" s="3">
        <f t="shared" si="44"/>
        <v>0</v>
      </c>
      <c r="T428" s="4">
        <f t="shared" si="45"/>
        <v>0</v>
      </c>
      <c r="U428" s="3">
        <f t="shared" si="46"/>
        <v>0.24647887538273117</v>
      </c>
      <c r="V428" s="5">
        <f t="shared" si="47"/>
        <v>-1</v>
      </c>
    </row>
    <row r="429" spans="1:22" x14ac:dyDescent="0.3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t="s">
        <v>25</v>
      </c>
      <c r="G429" t="s">
        <v>27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  <c r="P429" s="2">
        <f t="shared" si="42"/>
        <v>2.6003293750541737E-2</v>
      </c>
      <c r="Q429" s="3">
        <f t="shared" si="43"/>
        <v>1.433333397</v>
      </c>
      <c r="R429" s="4">
        <f t="shared" si="48"/>
        <v>0</v>
      </c>
      <c r="S429" s="3">
        <f t="shared" si="44"/>
        <v>0</v>
      </c>
      <c r="T429" s="4">
        <f t="shared" si="45"/>
        <v>0</v>
      </c>
      <c r="U429" s="3">
        <f t="shared" si="46"/>
        <v>0.37271389364652852</v>
      </c>
      <c r="V429" s="5">
        <f t="shared" si="47"/>
        <v>-1</v>
      </c>
    </row>
    <row r="430" spans="1:22" x14ac:dyDescent="0.3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t="s">
        <v>25</v>
      </c>
      <c r="G430" t="s">
        <v>27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  <c r="P430" s="2">
        <f t="shared" si="42"/>
        <v>2.4624476729869491E-2</v>
      </c>
      <c r="Q430" s="3">
        <f t="shared" si="43"/>
        <v>0.95666664833333337</v>
      </c>
      <c r="R430" s="4">
        <f t="shared" si="48"/>
        <v>0</v>
      </c>
      <c r="S430" s="3">
        <f t="shared" si="44"/>
        <v>0</v>
      </c>
      <c r="T430" s="4">
        <f t="shared" si="45"/>
        <v>0</v>
      </c>
      <c r="U430" s="3">
        <f t="shared" si="46"/>
        <v>0.23557415620126407</v>
      </c>
      <c r="V430" s="5">
        <f t="shared" si="47"/>
        <v>-1</v>
      </c>
    </row>
    <row r="431" spans="1:22" x14ac:dyDescent="0.3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t="s">
        <v>24</v>
      </c>
      <c r="G431" t="s">
        <v>27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  <c r="P431" s="2">
        <f t="shared" si="42"/>
        <v>1.6914749661705007E-2</v>
      </c>
      <c r="Q431" s="3">
        <f t="shared" si="43"/>
        <v>1.559999943</v>
      </c>
      <c r="R431" s="4">
        <f t="shared" si="48"/>
        <v>1</v>
      </c>
      <c r="S431" s="3">
        <f t="shared" si="44"/>
        <v>1.559999943</v>
      </c>
      <c r="T431" s="4">
        <f t="shared" si="45"/>
        <v>1</v>
      </c>
      <c r="U431" s="3">
        <f t="shared" si="46"/>
        <v>0.26387008508119081</v>
      </c>
      <c r="V431" s="5">
        <f t="shared" si="47"/>
        <v>31.05128322238663</v>
      </c>
    </row>
    <row r="432" spans="1:22" x14ac:dyDescent="0.3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t="s">
        <v>22</v>
      </c>
      <c r="G432" t="s">
        <v>23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  <c r="P432" s="2">
        <f t="shared" si="42"/>
        <v>2.4925224327018942E-2</v>
      </c>
      <c r="Q432" s="3">
        <f t="shared" si="43"/>
        <v>1.5700000519999999</v>
      </c>
      <c r="R432" s="4">
        <f t="shared" si="48"/>
        <v>0</v>
      </c>
      <c r="S432" s="3">
        <f t="shared" si="44"/>
        <v>0</v>
      </c>
      <c r="T432" s="4">
        <f t="shared" si="45"/>
        <v>0</v>
      </c>
      <c r="U432" s="3">
        <f t="shared" si="46"/>
        <v>0.39132603489531403</v>
      </c>
      <c r="V432" s="5">
        <f t="shared" si="47"/>
        <v>-1</v>
      </c>
    </row>
    <row r="433" spans="1:22" x14ac:dyDescent="0.3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t="s">
        <v>22</v>
      </c>
      <c r="G433" t="s">
        <v>23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  <c r="P433" s="2">
        <f t="shared" si="42"/>
        <v>1.6134236850596968E-2</v>
      </c>
      <c r="Q433" s="3">
        <f t="shared" si="43"/>
        <v>1.605000019</v>
      </c>
      <c r="R433" s="4">
        <f t="shared" si="48"/>
        <v>0.5</v>
      </c>
      <c r="S433" s="3">
        <f t="shared" si="44"/>
        <v>3.210000038</v>
      </c>
      <c r="T433" s="4">
        <f t="shared" si="45"/>
        <v>0.5</v>
      </c>
      <c r="U433" s="3">
        <f t="shared" si="46"/>
        <v>0.25895450451758634</v>
      </c>
      <c r="V433" s="5">
        <f t="shared" si="47"/>
        <v>14.576323803146323</v>
      </c>
    </row>
    <row r="434" spans="1:22" x14ac:dyDescent="0.3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t="s">
        <v>22</v>
      </c>
      <c r="G434" t="s">
        <v>23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  <c r="P434" s="2">
        <f t="shared" si="42"/>
        <v>0</v>
      </c>
      <c r="Q434" s="3">
        <f t="shared" si="43"/>
        <v>0</v>
      </c>
      <c r="R434" s="4">
        <f t="shared" si="48"/>
        <v>0</v>
      </c>
      <c r="S434" s="3">
        <f t="shared" si="44"/>
        <v>0</v>
      </c>
      <c r="T434" s="4">
        <f t="shared" si="45"/>
        <v>1</v>
      </c>
      <c r="U434" s="3">
        <f t="shared" si="46"/>
        <v>0</v>
      </c>
      <c r="V434" s="5">
        <f t="shared" si="47"/>
        <v>0</v>
      </c>
    </row>
    <row r="435" spans="1:22" x14ac:dyDescent="0.3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t="s">
        <v>22</v>
      </c>
      <c r="G435" t="s">
        <v>23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  <c r="P435" s="2">
        <f t="shared" si="42"/>
        <v>0</v>
      </c>
      <c r="Q435" s="3">
        <f t="shared" si="43"/>
        <v>0</v>
      </c>
      <c r="R435" s="4">
        <f t="shared" si="48"/>
        <v>0</v>
      </c>
      <c r="S435" s="3">
        <f t="shared" si="44"/>
        <v>0</v>
      </c>
      <c r="T435" s="4">
        <f t="shared" si="45"/>
        <v>0</v>
      </c>
      <c r="U435" s="3">
        <f t="shared" si="46"/>
        <v>0</v>
      </c>
      <c r="V435" s="5">
        <f t="shared" si="47"/>
        <v>0</v>
      </c>
    </row>
    <row r="436" spans="1:22" x14ac:dyDescent="0.3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t="s">
        <v>22</v>
      </c>
      <c r="G436" t="s">
        <v>23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  <c r="P436" s="2">
        <f t="shared" si="42"/>
        <v>0</v>
      </c>
      <c r="Q436" s="3">
        <f t="shared" si="43"/>
        <v>0</v>
      </c>
      <c r="R436" s="4">
        <f t="shared" si="48"/>
        <v>0</v>
      </c>
      <c r="S436" s="3">
        <f t="shared" si="44"/>
        <v>0</v>
      </c>
      <c r="T436" s="4">
        <f t="shared" si="45"/>
        <v>1</v>
      </c>
      <c r="U436" s="3">
        <f t="shared" si="46"/>
        <v>0</v>
      </c>
      <c r="V436" s="5">
        <f t="shared" si="47"/>
        <v>0</v>
      </c>
    </row>
    <row r="437" spans="1:22" x14ac:dyDescent="0.3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t="s">
        <v>22</v>
      </c>
      <c r="G437" t="s">
        <v>23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  <c r="P437" s="2">
        <f t="shared" si="42"/>
        <v>0</v>
      </c>
      <c r="Q437" s="3">
        <f t="shared" si="43"/>
        <v>0</v>
      </c>
      <c r="R437" s="4">
        <f t="shared" si="48"/>
        <v>0</v>
      </c>
      <c r="S437" s="3">
        <f t="shared" si="44"/>
        <v>0</v>
      </c>
      <c r="T437" s="4">
        <f t="shared" si="45"/>
        <v>1</v>
      </c>
      <c r="U437" s="3">
        <f t="shared" si="46"/>
        <v>0</v>
      </c>
      <c r="V437" s="5">
        <f t="shared" si="47"/>
        <v>0</v>
      </c>
    </row>
    <row r="438" spans="1:22" x14ac:dyDescent="0.3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t="s">
        <v>22</v>
      </c>
      <c r="G438" t="s">
        <v>23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  <c r="P438" s="2">
        <f t="shared" si="42"/>
        <v>0</v>
      </c>
      <c r="Q438" s="3">
        <f t="shared" si="43"/>
        <v>0</v>
      </c>
      <c r="R438" s="4">
        <f t="shared" si="48"/>
        <v>0</v>
      </c>
      <c r="S438" s="3">
        <f t="shared" si="44"/>
        <v>0</v>
      </c>
      <c r="T438" s="4">
        <f t="shared" si="45"/>
        <v>1</v>
      </c>
      <c r="U438" s="3">
        <f t="shared" si="46"/>
        <v>0</v>
      </c>
      <c r="V438" s="5">
        <f t="shared" si="47"/>
        <v>0</v>
      </c>
    </row>
    <row r="439" spans="1:22" x14ac:dyDescent="0.3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t="s">
        <v>22</v>
      </c>
      <c r="G439" t="s">
        <v>23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  <c r="P439" s="2">
        <f t="shared" si="42"/>
        <v>0</v>
      </c>
      <c r="Q439" s="3">
        <f t="shared" si="43"/>
        <v>0</v>
      </c>
      <c r="R439" s="4">
        <f t="shared" si="48"/>
        <v>0</v>
      </c>
      <c r="S439" s="3">
        <f t="shared" si="44"/>
        <v>0</v>
      </c>
      <c r="T439" s="4">
        <f t="shared" si="45"/>
        <v>0</v>
      </c>
      <c r="U439" s="3">
        <f t="shared" si="46"/>
        <v>0</v>
      </c>
      <c r="V439" s="5">
        <f t="shared" si="47"/>
        <v>0</v>
      </c>
    </row>
    <row r="440" spans="1:22" x14ac:dyDescent="0.3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t="s">
        <v>22</v>
      </c>
      <c r="G440" t="s">
        <v>23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  <c r="P440" s="2">
        <f t="shared" si="42"/>
        <v>6.3613231552162846E-3</v>
      </c>
      <c r="Q440" s="3">
        <f t="shared" si="43"/>
        <v>1.3799999949999999</v>
      </c>
      <c r="R440" s="4">
        <f t="shared" si="48"/>
        <v>0</v>
      </c>
      <c r="S440" s="3">
        <f t="shared" si="44"/>
        <v>0</v>
      </c>
      <c r="T440" s="4">
        <f t="shared" si="45"/>
        <v>0</v>
      </c>
      <c r="U440" s="3">
        <f t="shared" si="46"/>
        <v>8.778625922391857E-2</v>
      </c>
      <c r="V440" s="5">
        <f t="shared" si="47"/>
        <v>-1</v>
      </c>
    </row>
    <row r="441" spans="1:22" x14ac:dyDescent="0.3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t="s">
        <v>22</v>
      </c>
      <c r="G441" t="s">
        <v>23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  <c r="P441" s="2">
        <f t="shared" si="42"/>
        <v>0</v>
      </c>
      <c r="Q441" s="3">
        <f t="shared" si="43"/>
        <v>0</v>
      </c>
      <c r="R441" s="4">
        <f t="shared" si="48"/>
        <v>0</v>
      </c>
      <c r="S441" s="3">
        <f t="shared" si="44"/>
        <v>0</v>
      </c>
      <c r="T441" s="4">
        <f t="shared" si="45"/>
        <v>1</v>
      </c>
      <c r="U441" s="3">
        <f t="shared" si="46"/>
        <v>0</v>
      </c>
      <c r="V441" s="5">
        <f t="shared" si="47"/>
        <v>0</v>
      </c>
    </row>
    <row r="442" spans="1:22" x14ac:dyDescent="0.3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t="s">
        <v>25</v>
      </c>
      <c r="G442" t="s">
        <v>23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  <c r="P442" s="2">
        <f t="shared" si="42"/>
        <v>8.4495141529362064E-2</v>
      </c>
      <c r="Q442" s="3">
        <f t="shared" si="43"/>
        <v>1.4199999569999999</v>
      </c>
      <c r="R442" s="4">
        <f t="shared" si="48"/>
        <v>0.5</v>
      </c>
      <c r="S442" s="3">
        <f t="shared" si="44"/>
        <v>2.8399999139999998</v>
      </c>
      <c r="T442" s="4">
        <f t="shared" si="45"/>
        <v>1</v>
      </c>
      <c r="U442" s="3">
        <f t="shared" si="46"/>
        <v>1.1998309733840302</v>
      </c>
      <c r="V442" s="5">
        <f t="shared" si="47"/>
        <v>16.605634335945265</v>
      </c>
    </row>
    <row r="443" spans="1:22" x14ac:dyDescent="0.3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t="s">
        <v>24</v>
      </c>
      <c r="G443" t="s">
        <v>23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  <c r="P443" s="2">
        <f t="shared" si="42"/>
        <v>1.5135462388375966E-2</v>
      </c>
      <c r="Q443" s="3">
        <f t="shared" si="43"/>
        <v>1.3200000519999999</v>
      </c>
      <c r="R443" s="4">
        <f t="shared" si="48"/>
        <v>0</v>
      </c>
      <c r="S443" s="3">
        <f t="shared" si="44"/>
        <v>0</v>
      </c>
      <c r="T443" s="4">
        <f t="shared" si="45"/>
        <v>0</v>
      </c>
      <c r="U443" s="3">
        <f t="shared" si="46"/>
        <v>0.19978811139700317</v>
      </c>
      <c r="V443" s="5">
        <f t="shared" si="47"/>
        <v>-1</v>
      </c>
    </row>
    <row r="444" spans="1:22" x14ac:dyDescent="0.3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t="s">
        <v>22</v>
      </c>
      <c r="G444" t="s">
        <v>23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  <c r="P444" s="2">
        <f t="shared" si="42"/>
        <v>0</v>
      </c>
      <c r="Q444" s="3">
        <f t="shared" si="43"/>
        <v>0</v>
      </c>
      <c r="R444" s="4">
        <f t="shared" si="48"/>
        <v>0</v>
      </c>
      <c r="S444" s="3">
        <f t="shared" si="44"/>
        <v>0</v>
      </c>
      <c r="T444" s="4">
        <f t="shared" si="45"/>
        <v>0</v>
      </c>
      <c r="U444" s="3">
        <f t="shared" si="46"/>
        <v>0</v>
      </c>
      <c r="V444" s="5">
        <f t="shared" si="47"/>
        <v>0</v>
      </c>
    </row>
    <row r="445" spans="1:22" x14ac:dyDescent="0.3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t="s">
        <v>26</v>
      </c>
      <c r="G445" t="s">
        <v>23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  <c r="P445" s="2">
        <f t="shared" si="42"/>
        <v>1.8060321473722232E-2</v>
      </c>
      <c r="Q445" s="3">
        <f t="shared" si="43"/>
        <v>1.519999981</v>
      </c>
      <c r="R445" s="4">
        <f t="shared" si="48"/>
        <v>0</v>
      </c>
      <c r="S445" s="3">
        <f t="shared" si="44"/>
        <v>0</v>
      </c>
      <c r="T445" s="4">
        <f t="shared" si="45"/>
        <v>0</v>
      </c>
      <c r="U445" s="3">
        <f t="shared" si="46"/>
        <v>0.27451688296911686</v>
      </c>
      <c r="V445" s="5">
        <f t="shared" si="47"/>
        <v>-1</v>
      </c>
    </row>
    <row r="446" spans="1:22" x14ac:dyDescent="0.3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t="s">
        <v>26</v>
      </c>
      <c r="G446" t="s">
        <v>23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  <c r="P446" s="2">
        <f t="shared" si="42"/>
        <v>0</v>
      </c>
      <c r="Q446" s="3">
        <f t="shared" si="43"/>
        <v>0</v>
      </c>
      <c r="R446" s="4">
        <f t="shared" si="48"/>
        <v>0</v>
      </c>
      <c r="S446" s="3">
        <f t="shared" si="44"/>
        <v>0</v>
      </c>
      <c r="T446" s="4">
        <f t="shared" si="45"/>
        <v>0</v>
      </c>
      <c r="U446" s="3">
        <f t="shared" si="46"/>
        <v>0</v>
      </c>
      <c r="V446" s="5">
        <f t="shared" si="47"/>
        <v>0</v>
      </c>
    </row>
    <row r="447" spans="1:22" x14ac:dyDescent="0.3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t="s">
        <v>26</v>
      </c>
      <c r="G447" t="s">
        <v>23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  <c r="P447" s="2">
        <f t="shared" si="42"/>
        <v>5.2383446830801469E-2</v>
      </c>
      <c r="Q447" s="3">
        <f t="shared" si="43"/>
        <v>0.980000019</v>
      </c>
      <c r="R447" s="4">
        <f t="shared" si="48"/>
        <v>0</v>
      </c>
      <c r="S447" s="3">
        <f t="shared" si="44"/>
        <v>0</v>
      </c>
      <c r="T447" s="4">
        <f t="shared" si="45"/>
        <v>0</v>
      </c>
      <c r="U447" s="3">
        <f t="shared" si="46"/>
        <v>0.51335778889470929</v>
      </c>
      <c r="V447" s="5">
        <f t="shared" si="47"/>
        <v>-1</v>
      </c>
    </row>
    <row r="448" spans="1:22" x14ac:dyDescent="0.3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t="s">
        <v>22</v>
      </c>
      <c r="G448" t="s">
        <v>23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  <c r="P448" s="2">
        <f t="shared" si="42"/>
        <v>0</v>
      </c>
      <c r="Q448" s="3">
        <f t="shared" si="43"/>
        <v>0</v>
      </c>
      <c r="R448" s="4">
        <f t="shared" si="48"/>
        <v>0</v>
      </c>
      <c r="S448" s="3">
        <f t="shared" si="44"/>
        <v>0</v>
      </c>
      <c r="T448" s="4">
        <f t="shared" si="45"/>
        <v>0</v>
      </c>
      <c r="U448" s="3">
        <f t="shared" si="46"/>
        <v>0</v>
      </c>
      <c r="V448" s="5">
        <f t="shared" si="47"/>
        <v>0</v>
      </c>
    </row>
    <row r="449" spans="1:22" x14ac:dyDescent="0.3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t="s">
        <v>26</v>
      </c>
      <c r="G449" t="s">
        <v>23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  <c r="P449" s="2">
        <f t="shared" si="42"/>
        <v>0</v>
      </c>
      <c r="Q449" s="3">
        <f t="shared" si="43"/>
        <v>0</v>
      </c>
      <c r="R449" s="4">
        <f t="shared" si="48"/>
        <v>0</v>
      </c>
      <c r="S449" s="3">
        <f t="shared" si="44"/>
        <v>0</v>
      </c>
      <c r="T449" s="4">
        <f t="shared" si="45"/>
        <v>0</v>
      </c>
      <c r="U449" s="3">
        <f t="shared" si="46"/>
        <v>0</v>
      </c>
      <c r="V449" s="5">
        <f t="shared" si="47"/>
        <v>0</v>
      </c>
    </row>
    <row r="450" spans="1:22" x14ac:dyDescent="0.3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t="s">
        <v>25</v>
      </c>
      <c r="G450" t="s">
        <v>23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  <c r="P450" s="2">
        <f t="shared" ref="P450:P513" si="49">IF(K450&gt;0, (L450/K450)*100, 0)</f>
        <v>5.3078556263269641E-2</v>
      </c>
      <c r="Q450" s="3">
        <f t="shared" ref="Q450:Q513" si="50">IF(L450&gt;0, M450/L450, 0)</f>
        <v>1.4099999670000001</v>
      </c>
      <c r="R450" s="4">
        <f t="shared" si="48"/>
        <v>0</v>
      </c>
      <c r="S450" s="3">
        <f t="shared" ref="S450:S513" si="51">IF(O450&gt;0, M450/O450, 0)</f>
        <v>0</v>
      </c>
      <c r="T450" s="4">
        <f t="shared" ref="T450:T513" si="52">IF(N450&gt;0, O450/N450, 0)</f>
        <v>0</v>
      </c>
      <c r="U450" s="3">
        <f t="shared" ref="U450:U513" si="53">IF(K450&gt;0, (M450/K450)*1000, 0)</f>
        <v>0.74840762579617837</v>
      </c>
      <c r="V450" s="5">
        <f t="shared" ref="V450:V513" si="54">IF(M450&gt;0, ((O450*50)-M450)/M450, 0)</f>
        <v>-1</v>
      </c>
    </row>
    <row r="451" spans="1:22" x14ac:dyDescent="0.3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t="s">
        <v>22</v>
      </c>
      <c r="G451" t="s">
        <v>23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  <c r="P451" s="2">
        <f t="shared" si="49"/>
        <v>0</v>
      </c>
      <c r="Q451" s="3">
        <f t="shared" si="50"/>
        <v>0</v>
      </c>
      <c r="R451" s="4">
        <f t="shared" ref="R451:R514" si="55">IF(L451&gt;0, O451/L451, 0)</f>
        <v>0</v>
      </c>
      <c r="S451" s="3">
        <f t="shared" si="51"/>
        <v>0</v>
      </c>
      <c r="T451" s="4">
        <f t="shared" si="52"/>
        <v>0</v>
      </c>
      <c r="U451" s="3">
        <f t="shared" si="53"/>
        <v>0</v>
      </c>
      <c r="V451" s="5">
        <f t="shared" si="54"/>
        <v>0</v>
      </c>
    </row>
    <row r="452" spans="1:22" x14ac:dyDescent="0.3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t="s">
        <v>22</v>
      </c>
      <c r="G452" t="s">
        <v>23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  <c r="P452" s="2">
        <f t="shared" si="49"/>
        <v>0</v>
      </c>
      <c r="Q452" s="3">
        <f t="shared" si="50"/>
        <v>0</v>
      </c>
      <c r="R452" s="4">
        <f t="shared" si="55"/>
        <v>0</v>
      </c>
      <c r="S452" s="3">
        <f t="shared" si="51"/>
        <v>0</v>
      </c>
      <c r="T452" s="4">
        <f t="shared" si="52"/>
        <v>1</v>
      </c>
      <c r="U452" s="3">
        <f t="shared" si="53"/>
        <v>0</v>
      </c>
      <c r="V452" s="5">
        <f t="shared" si="54"/>
        <v>0</v>
      </c>
    </row>
    <row r="453" spans="1:22" x14ac:dyDescent="0.3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t="s">
        <v>22</v>
      </c>
      <c r="G453" t="s">
        <v>23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  <c r="P453" s="2">
        <f t="shared" si="49"/>
        <v>0</v>
      </c>
      <c r="Q453" s="3">
        <f t="shared" si="50"/>
        <v>0</v>
      </c>
      <c r="R453" s="4">
        <f t="shared" si="55"/>
        <v>0</v>
      </c>
      <c r="S453" s="3">
        <f t="shared" si="51"/>
        <v>0</v>
      </c>
      <c r="T453" s="4">
        <f t="shared" si="52"/>
        <v>0</v>
      </c>
      <c r="U453" s="3">
        <f t="shared" si="53"/>
        <v>0</v>
      </c>
      <c r="V453" s="5">
        <f t="shared" si="54"/>
        <v>0</v>
      </c>
    </row>
    <row r="454" spans="1:22" x14ac:dyDescent="0.3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t="s">
        <v>22</v>
      </c>
      <c r="G454" t="s">
        <v>23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  <c r="P454" s="2">
        <f t="shared" si="49"/>
        <v>0</v>
      </c>
      <c r="Q454" s="3">
        <f t="shared" si="50"/>
        <v>0</v>
      </c>
      <c r="R454" s="4">
        <f t="shared" si="55"/>
        <v>0</v>
      </c>
      <c r="S454" s="3">
        <f t="shared" si="51"/>
        <v>0</v>
      </c>
      <c r="T454" s="4">
        <f t="shared" si="52"/>
        <v>0</v>
      </c>
      <c r="U454" s="3">
        <f t="shared" si="53"/>
        <v>0</v>
      </c>
      <c r="V454" s="5">
        <f t="shared" si="54"/>
        <v>0</v>
      </c>
    </row>
    <row r="455" spans="1:22" x14ac:dyDescent="0.3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t="s">
        <v>22</v>
      </c>
      <c r="G455" t="s">
        <v>23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  <c r="P455" s="2">
        <f t="shared" si="49"/>
        <v>0</v>
      </c>
      <c r="Q455" s="3">
        <f t="shared" si="50"/>
        <v>0</v>
      </c>
      <c r="R455" s="4">
        <f t="shared" si="55"/>
        <v>0</v>
      </c>
      <c r="S455" s="3">
        <f t="shared" si="51"/>
        <v>0</v>
      </c>
      <c r="T455" s="4">
        <f t="shared" si="52"/>
        <v>1</v>
      </c>
      <c r="U455" s="3">
        <f t="shared" si="53"/>
        <v>0</v>
      </c>
      <c r="V455" s="5">
        <f t="shared" si="54"/>
        <v>0</v>
      </c>
    </row>
    <row r="456" spans="1:22" x14ac:dyDescent="0.3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t="s">
        <v>22</v>
      </c>
      <c r="G456" t="s">
        <v>23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  <c r="P456" s="2">
        <f t="shared" si="49"/>
        <v>0</v>
      </c>
      <c r="Q456" s="3">
        <f t="shared" si="50"/>
        <v>0</v>
      </c>
      <c r="R456" s="4">
        <f t="shared" si="55"/>
        <v>0</v>
      </c>
      <c r="S456" s="3">
        <f t="shared" si="51"/>
        <v>0</v>
      </c>
      <c r="T456" s="4">
        <f t="shared" si="52"/>
        <v>1</v>
      </c>
      <c r="U456" s="3">
        <f t="shared" si="53"/>
        <v>0</v>
      </c>
      <c r="V456" s="5">
        <f t="shared" si="54"/>
        <v>0</v>
      </c>
    </row>
    <row r="457" spans="1:22" x14ac:dyDescent="0.3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t="s">
        <v>22</v>
      </c>
      <c r="G457" t="s">
        <v>23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  <c r="P457" s="2">
        <f t="shared" si="49"/>
        <v>0</v>
      </c>
      <c r="Q457" s="3">
        <f t="shared" si="50"/>
        <v>0</v>
      </c>
      <c r="R457" s="4">
        <f t="shared" si="55"/>
        <v>0</v>
      </c>
      <c r="S457" s="3">
        <f t="shared" si="51"/>
        <v>0</v>
      </c>
      <c r="T457" s="4">
        <f t="shared" si="52"/>
        <v>1</v>
      </c>
      <c r="U457" s="3">
        <f t="shared" si="53"/>
        <v>0</v>
      </c>
      <c r="V457" s="5">
        <f t="shared" si="54"/>
        <v>0</v>
      </c>
    </row>
    <row r="458" spans="1:22" x14ac:dyDescent="0.3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t="s">
        <v>22</v>
      </c>
      <c r="G458" t="s">
        <v>23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  <c r="P458" s="2">
        <f t="shared" si="49"/>
        <v>0</v>
      </c>
      <c r="Q458" s="3">
        <f t="shared" si="50"/>
        <v>0</v>
      </c>
      <c r="R458" s="4">
        <f t="shared" si="55"/>
        <v>0</v>
      </c>
      <c r="S458" s="3">
        <f t="shared" si="51"/>
        <v>0</v>
      </c>
      <c r="T458" s="4">
        <f t="shared" si="52"/>
        <v>0</v>
      </c>
      <c r="U458" s="3">
        <f t="shared" si="53"/>
        <v>0</v>
      </c>
      <c r="V458" s="5">
        <f t="shared" si="54"/>
        <v>0</v>
      </c>
    </row>
    <row r="459" spans="1:22" x14ac:dyDescent="0.3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t="s">
        <v>22</v>
      </c>
      <c r="G459" t="s">
        <v>23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  <c r="P459" s="2">
        <f t="shared" si="49"/>
        <v>0</v>
      </c>
      <c r="Q459" s="3">
        <f t="shared" si="50"/>
        <v>0</v>
      </c>
      <c r="R459" s="4">
        <f t="shared" si="55"/>
        <v>0</v>
      </c>
      <c r="S459" s="3">
        <f t="shared" si="51"/>
        <v>0</v>
      </c>
      <c r="T459" s="4">
        <f t="shared" si="52"/>
        <v>1</v>
      </c>
      <c r="U459" s="3">
        <f t="shared" si="53"/>
        <v>0</v>
      </c>
      <c r="V459" s="5">
        <f t="shared" si="54"/>
        <v>0</v>
      </c>
    </row>
    <row r="460" spans="1:22" x14ac:dyDescent="0.3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t="s">
        <v>22</v>
      </c>
      <c r="G460" t="s">
        <v>23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  <c r="P460" s="2">
        <f t="shared" si="49"/>
        <v>3.8560411311053984E-2</v>
      </c>
      <c r="Q460" s="3">
        <f t="shared" si="50"/>
        <v>1.4433333079999999</v>
      </c>
      <c r="R460" s="4">
        <f t="shared" si="55"/>
        <v>0.66666666666666663</v>
      </c>
      <c r="S460" s="3">
        <f t="shared" si="51"/>
        <v>2.164999962</v>
      </c>
      <c r="T460" s="4">
        <f t="shared" si="52"/>
        <v>1</v>
      </c>
      <c r="U460" s="3">
        <f t="shared" si="53"/>
        <v>0.55655526015424162</v>
      </c>
      <c r="V460" s="5">
        <f t="shared" si="54"/>
        <v>22.094688627066127</v>
      </c>
    </row>
    <row r="461" spans="1:22" x14ac:dyDescent="0.3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t="s">
        <v>24</v>
      </c>
      <c r="G461" t="s">
        <v>23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  <c r="P461" s="2">
        <f t="shared" si="49"/>
        <v>0</v>
      </c>
      <c r="Q461" s="3">
        <f t="shared" si="50"/>
        <v>0</v>
      </c>
      <c r="R461" s="4">
        <f t="shared" si="55"/>
        <v>0</v>
      </c>
      <c r="S461" s="3">
        <f t="shared" si="51"/>
        <v>0</v>
      </c>
      <c r="T461" s="4">
        <f t="shared" si="52"/>
        <v>0</v>
      </c>
      <c r="U461" s="3">
        <f t="shared" si="53"/>
        <v>0</v>
      </c>
      <c r="V461" s="5">
        <f t="shared" si="54"/>
        <v>0</v>
      </c>
    </row>
    <row r="462" spans="1:22" x14ac:dyDescent="0.3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t="s">
        <v>24</v>
      </c>
      <c r="G462" t="s">
        <v>23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  <c r="P462" s="2">
        <f t="shared" si="49"/>
        <v>0</v>
      </c>
      <c r="Q462" s="3">
        <f t="shared" si="50"/>
        <v>0</v>
      </c>
      <c r="R462" s="4">
        <f t="shared" si="55"/>
        <v>0</v>
      </c>
      <c r="S462" s="3">
        <f t="shared" si="51"/>
        <v>0</v>
      </c>
      <c r="T462" s="4">
        <f t="shared" si="52"/>
        <v>0</v>
      </c>
      <c r="U462" s="3">
        <f t="shared" si="53"/>
        <v>0</v>
      </c>
      <c r="V462" s="5">
        <f t="shared" si="54"/>
        <v>0</v>
      </c>
    </row>
    <row r="463" spans="1:22" x14ac:dyDescent="0.3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t="s">
        <v>24</v>
      </c>
      <c r="G463" t="s">
        <v>23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  <c r="P463" s="2">
        <f t="shared" si="49"/>
        <v>3.7979491074819599E-2</v>
      </c>
      <c r="Q463" s="3">
        <f t="shared" si="50"/>
        <v>1.0700000519999999</v>
      </c>
      <c r="R463" s="4">
        <f t="shared" si="55"/>
        <v>0</v>
      </c>
      <c r="S463" s="3">
        <f t="shared" si="51"/>
        <v>0</v>
      </c>
      <c r="T463" s="4">
        <f t="shared" si="52"/>
        <v>0</v>
      </c>
      <c r="U463" s="3">
        <f t="shared" si="53"/>
        <v>0.40638057424990504</v>
      </c>
      <c r="V463" s="5">
        <f t="shared" si="54"/>
        <v>-1</v>
      </c>
    </row>
    <row r="464" spans="1:22" x14ac:dyDescent="0.3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t="s">
        <v>22</v>
      </c>
      <c r="G464" t="s">
        <v>23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  <c r="P464" s="2">
        <f t="shared" si="49"/>
        <v>0</v>
      </c>
      <c r="Q464" s="3">
        <f t="shared" si="50"/>
        <v>0</v>
      </c>
      <c r="R464" s="4">
        <f t="shared" si="55"/>
        <v>0</v>
      </c>
      <c r="S464" s="3">
        <f t="shared" si="51"/>
        <v>0</v>
      </c>
      <c r="T464" s="4">
        <f t="shared" si="52"/>
        <v>0</v>
      </c>
      <c r="U464" s="3">
        <f t="shared" si="53"/>
        <v>0</v>
      </c>
      <c r="V464" s="5">
        <f t="shared" si="54"/>
        <v>0</v>
      </c>
    </row>
    <row r="465" spans="1:22" x14ac:dyDescent="0.3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t="s">
        <v>24</v>
      </c>
      <c r="G465" t="s">
        <v>23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  <c r="P465" s="2">
        <f t="shared" si="49"/>
        <v>0</v>
      </c>
      <c r="Q465" s="3">
        <f t="shared" si="50"/>
        <v>0</v>
      </c>
      <c r="R465" s="4">
        <f t="shared" si="55"/>
        <v>0</v>
      </c>
      <c r="S465" s="3">
        <f t="shared" si="51"/>
        <v>0</v>
      </c>
      <c r="T465" s="4">
        <f t="shared" si="52"/>
        <v>0</v>
      </c>
      <c r="U465" s="3">
        <f t="shared" si="53"/>
        <v>0</v>
      </c>
      <c r="V465" s="5">
        <f t="shared" si="54"/>
        <v>0</v>
      </c>
    </row>
    <row r="466" spans="1:22" x14ac:dyDescent="0.3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t="s">
        <v>22</v>
      </c>
      <c r="G466" t="s">
        <v>23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  <c r="P466" s="2">
        <f t="shared" si="49"/>
        <v>0</v>
      </c>
      <c r="Q466" s="3">
        <f t="shared" si="50"/>
        <v>0</v>
      </c>
      <c r="R466" s="4">
        <f t="shared" si="55"/>
        <v>0</v>
      </c>
      <c r="S466" s="3">
        <f t="shared" si="51"/>
        <v>0</v>
      </c>
      <c r="T466" s="4">
        <f t="shared" si="52"/>
        <v>1</v>
      </c>
      <c r="U466" s="3">
        <f t="shared" si="53"/>
        <v>0</v>
      </c>
      <c r="V466" s="5">
        <f t="shared" si="54"/>
        <v>0</v>
      </c>
    </row>
    <row r="467" spans="1:22" x14ac:dyDescent="0.3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t="s">
        <v>25</v>
      </c>
      <c r="G467" t="s">
        <v>23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  <c r="P467" s="2">
        <f t="shared" si="49"/>
        <v>3.3704078193461412E-2</v>
      </c>
      <c r="Q467" s="3">
        <f t="shared" si="50"/>
        <v>1.5</v>
      </c>
      <c r="R467" s="4">
        <f t="shared" si="55"/>
        <v>1</v>
      </c>
      <c r="S467" s="3">
        <f t="shared" si="51"/>
        <v>1.5</v>
      </c>
      <c r="T467" s="4">
        <f t="shared" si="52"/>
        <v>1</v>
      </c>
      <c r="U467" s="3">
        <f t="shared" si="53"/>
        <v>0.50556117290192115</v>
      </c>
      <c r="V467" s="5">
        <f t="shared" si="54"/>
        <v>32.333333333333336</v>
      </c>
    </row>
    <row r="468" spans="1:22" x14ac:dyDescent="0.3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t="s">
        <v>26</v>
      </c>
      <c r="G468" t="s">
        <v>23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  <c r="P468" s="2">
        <f t="shared" si="49"/>
        <v>0</v>
      </c>
      <c r="Q468" s="3">
        <f t="shared" si="50"/>
        <v>0</v>
      </c>
      <c r="R468" s="4">
        <f t="shared" si="55"/>
        <v>0</v>
      </c>
      <c r="S468" s="3">
        <f t="shared" si="51"/>
        <v>0</v>
      </c>
      <c r="T468" s="4">
        <f t="shared" si="52"/>
        <v>0</v>
      </c>
      <c r="U468" s="3">
        <f t="shared" si="53"/>
        <v>0</v>
      </c>
      <c r="V468" s="5">
        <f t="shared" si="54"/>
        <v>0</v>
      </c>
    </row>
    <row r="469" spans="1:22" x14ac:dyDescent="0.3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t="s">
        <v>22</v>
      </c>
      <c r="G469" t="s">
        <v>27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  <c r="P469" s="2">
        <f t="shared" si="49"/>
        <v>0</v>
      </c>
      <c r="Q469" s="3">
        <f t="shared" si="50"/>
        <v>0</v>
      </c>
      <c r="R469" s="4">
        <f t="shared" si="55"/>
        <v>0</v>
      </c>
      <c r="S469" s="3">
        <f t="shared" si="51"/>
        <v>0</v>
      </c>
      <c r="T469" s="4">
        <f t="shared" si="52"/>
        <v>1</v>
      </c>
      <c r="U469" s="3">
        <f t="shared" si="53"/>
        <v>0</v>
      </c>
      <c r="V469" s="5">
        <f t="shared" si="54"/>
        <v>0</v>
      </c>
    </row>
    <row r="470" spans="1:22" x14ac:dyDescent="0.3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t="s">
        <v>22</v>
      </c>
      <c r="G470" t="s">
        <v>27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  <c r="P470" s="2">
        <f t="shared" si="49"/>
        <v>1.8125793003443903E-2</v>
      </c>
      <c r="Q470" s="3">
        <f t="shared" si="50"/>
        <v>1.230000019</v>
      </c>
      <c r="R470" s="4">
        <f t="shared" si="55"/>
        <v>0</v>
      </c>
      <c r="S470" s="3">
        <f t="shared" si="51"/>
        <v>0</v>
      </c>
      <c r="T470" s="4">
        <f t="shared" si="52"/>
        <v>0</v>
      </c>
      <c r="U470" s="3">
        <f t="shared" si="53"/>
        <v>0.22294725738626064</v>
      </c>
      <c r="V470" s="5">
        <f t="shared" si="54"/>
        <v>-1</v>
      </c>
    </row>
    <row r="471" spans="1:22" x14ac:dyDescent="0.3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t="s">
        <v>22</v>
      </c>
      <c r="G471" t="s">
        <v>27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  <c r="P471" s="2">
        <f t="shared" si="49"/>
        <v>0</v>
      </c>
      <c r="Q471" s="3">
        <f t="shared" si="50"/>
        <v>0</v>
      </c>
      <c r="R471" s="4">
        <f t="shared" si="55"/>
        <v>0</v>
      </c>
      <c r="S471" s="3">
        <f t="shared" si="51"/>
        <v>0</v>
      </c>
      <c r="T471" s="4">
        <f t="shared" si="52"/>
        <v>1</v>
      </c>
      <c r="U471" s="3">
        <f t="shared" si="53"/>
        <v>0</v>
      </c>
      <c r="V471" s="5">
        <f t="shared" si="54"/>
        <v>0</v>
      </c>
    </row>
    <row r="472" spans="1:22" x14ac:dyDescent="0.3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t="s">
        <v>22</v>
      </c>
      <c r="G472" t="s">
        <v>27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  <c r="P472" s="2">
        <f t="shared" si="49"/>
        <v>0</v>
      </c>
      <c r="Q472" s="3">
        <f t="shared" si="50"/>
        <v>0</v>
      </c>
      <c r="R472" s="4">
        <f t="shared" si="55"/>
        <v>0</v>
      </c>
      <c r="S472" s="3">
        <f t="shared" si="51"/>
        <v>0</v>
      </c>
      <c r="T472" s="4">
        <f t="shared" si="52"/>
        <v>0</v>
      </c>
      <c r="U472" s="3">
        <f t="shared" si="53"/>
        <v>0</v>
      </c>
      <c r="V472" s="5">
        <f t="shared" si="54"/>
        <v>0</v>
      </c>
    </row>
    <row r="473" spans="1:22" x14ac:dyDescent="0.3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t="s">
        <v>22</v>
      </c>
      <c r="G473" t="s">
        <v>27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  <c r="P473" s="2">
        <f t="shared" si="49"/>
        <v>0</v>
      </c>
      <c r="Q473" s="3">
        <f t="shared" si="50"/>
        <v>0</v>
      </c>
      <c r="R473" s="4">
        <f t="shared" si="55"/>
        <v>0</v>
      </c>
      <c r="S473" s="3">
        <f t="shared" si="51"/>
        <v>0</v>
      </c>
      <c r="T473" s="4">
        <f t="shared" si="52"/>
        <v>0</v>
      </c>
      <c r="U473" s="3">
        <f t="shared" si="53"/>
        <v>0</v>
      </c>
      <c r="V473" s="5">
        <f t="shared" si="54"/>
        <v>0</v>
      </c>
    </row>
    <row r="474" spans="1:22" x14ac:dyDescent="0.3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t="s">
        <v>22</v>
      </c>
      <c r="G474" t="s">
        <v>27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  <c r="P474" s="2">
        <f t="shared" si="49"/>
        <v>1.9950124688279305E-2</v>
      </c>
      <c r="Q474" s="3">
        <f t="shared" si="50"/>
        <v>1.16499996175</v>
      </c>
      <c r="R474" s="4">
        <f t="shared" si="55"/>
        <v>0.25</v>
      </c>
      <c r="S474" s="3">
        <f t="shared" si="51"/>
        <v>4.6599998469999999</v>
      </c>
      <c r="T474" s="4">
        <f t="shared" si="52"/>
        <v>0.25</v>
      </c>
      <c r="U474" s="3">
        <f t="shared" si="53"/>
        <v>0.23241894498753118</v>
      </c>
      <c r="V474" s="5">
        <f t="shared" si="54"/>
        <v>9.7296140861869009</v>
      </c>
    </row>
    <row r="475" spans="1:22" x14ac:dyDescent="0.3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t="s">
        <v>26</v>
      </c>
      <c r="G475" t="s">
        <v>23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  <c r="P475" s="2">
        <f t="shared" si="49"/>
        <v>0</v>
      </c>
      <c r="Q475" s="3">
        <f t="shared" si="50"/>
        <v>0</v>
      </c>
      <c r="R475" s="4">
        <f t="shared" si="55"/>
        <v>0</v>
      </c>
      <c r="S475" s="3">
        <f t="shared" si="51"/>
        <v>0</v>
      </c>
      <c r="T475" s="4">
        <f t="shared" si="52"/>
        <v>0</v>
      </c>
      <c r="U475" s="3">
        <f t="shared" si="53"/>
        <v>0</v>
      </c>
      <c r="V475" s="5">
        <f t="shared" si="54"/>
        <v>0</v>
      </c>
    </row>
    <row r="476" spans="1:22" x14ac:dyDescent="0.3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t="s">
        <v>26</v>
      </c>
      <c r="G476" t="s">
        <v>23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  <c r="P476" s="2">
        <f t="shared" si="49"/>
        <v>1.6966406515100101E-2</v>
      </c>
      <c r="Q476" s="3">
        <f t="shared" si="50"/>
        <v>1.539999962</v>
      </c>
      <c r="R476" s="4">
        <f t="shared" si="55"/>
        <v>1</v>
      </c>
      <c r="S476" s="3">
        <f t="shared" si="51"/>
        <v>1.539999962</v>
      </c>
      <c r="T476" s="4">
        <f t="shared" si="52"/>
        <v>1</v>
      </c>
      <c r="U476" s="3">
        <f t="shared" si="53"/>
        <v>0.26128265388530714</v>
      </c>
      <c r="V476" s="5">
        <f t="shared" si="54"/>
        <v>31.467533268679389</v>
      </c>
    </row>
    <row r="477" spans="1:22" x14ac:dyDescent="0.3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t="s">
        <v>24</v>
      </c>
      <c r="G477" t="s">
        <v>23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  <c r="P477" s="2">
        <f t="shared" si="49"/>
        <v>2.0104543626859671E-2</v>
      </c>
      <c r="Q477" s="3">
        <f t="shared" si="50"/>
        <v>1.3600000145</v>
      </c>
      <c r="R477" s="4">
        <f t="shared" si="55"/>
        <v>0</v>
      </c>
      <c r="S477" s="3">
        <f t="shared" si="51"/>
        <v>0</v>
      </c>
      <c r="T477" s="4">
        <f t="shared" si="52"/>
        <v>0</v>
      </c>
      <c r="U477" s="3">
        <f t="shared" si="53"/>
        <v>0.27342179624045032</v>
      </c>
      <c r="V477" s="5">
        <f t="shared" si="54"/>
        <v>-1</v>
      </c>
    </row>
    <row r="478" spans="1:22" x14ac:dyDescent="0.3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t="s">
        <v>26</v>
      </c>
      <c r="G478" t="s">
        <v>27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4.2899999619999996</v>
      </c>
      <c r="N478">
        <v>2</v>
      </c>
      <c r="O478">
        <v>1</v>
      </c>
      <c r="P478" s="2">
        <f t="shared" si="49"/>
        <v>5.652911249293386E-2</v>
      </c>
      <c r="Q478" s="3">
        <f t="shared" si="50"/>
        <v>1.4299999873333331</v>
      </c>
      <c r="R478" s="4">
        <f t="shared" si="55"/>
        <v>0.33333333333333331</v>
      </c>
      <c r="S478" s="3">
        <f t="shared" si="51"/>
        <v>4.2899999619999996</v>
      </c>
      <c r="T478" s="4">
        <f t="shared" si="52"/>
        <v>0.5</v>
      </c>
      <c r="U478" s="3">
        <f t="shared" si="53"/>
        <v>0.80836630148859989</v>
      </c>
      <c r="V478" s="5">
        <f t="shared" si="54"/>
        <v>10.655011758249524</v>
      </c>
    </row>
    <row r="479" spans="1:22" x14ac:dyDescent="0.3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t="s">
        <v>24</v>
      </c>
      <c r="G479" t="s">
        <v>27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  <c r="P479" s="2">
        <f t="shared" si="49"/>
        <v>4.3280675178532783E-2</v>
      </c>
      <c r="Q479" s="3">
        <f t="shared" si="50"/>
        <v>1.625</v>
      </c>
      <c r="R479" s="4">
        <f t="shared" si="55"/>
        <v>0.5</v>
      </c>
      <c r="S479" s="3">
        <f t="shared" si="51"/>
        <v>3.25</v>
      </c>
      <c r="T479" s="4">
        <f t="shared" si="52"/>
        <v>1</v>
      </c>
      <c r="U479" s="3">
        <f t="shared" si="53"/>
        <v>0.70331097165115775</v>
      </c>
      <c r="V479" s="5">
        <f t="shared" si="54"/>
        <v>14.384615384615385</v>
      </c>
    </row>
    <row r="480" spans="1:22" x14ac:dyDescent="0.3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t="s">
        <v>24</v>
      </c>
      <c r="G480" t="s">
        <v>27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  <c r="P480" s="2">
        <f t="shared" si="49"/>
        <v>0</v>
      </c>
      <c r="Q480" s="3">
        <f t="shared" si="50"/>
        <v>0</v>
      </c>
      <c r="R480" s="4">
        <f t="shared" si="55"/>
        <v>0</v>
      </c>
      <c r="S480" s="3">
        <f t="shared" si="51"/>
        <v>0</v>
      </c>
      <c r="T480" s="4">
        <f t="shared" si="52"/>
        <v>1</v>
      </c>
      <c r="U480" s="3">
        <f t="shared" si="53"/>
        <v>0</v>
      </c>
      <c r="V480" s="5">
        <f t="shared" si="54"/>
        <v>0</v>
      </c>
    </row>
    <row r="481" spans="1:22" x14ac:dyDescent="0.3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t="s">
        <v>24</v>
      </c>
      <c r="G481" t="s">
        <v>27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  <c r="P481" s="2">
        <f t="shared" si="49"/>
        <v>1.7316017316017316E-2</v>
      </c>
      <c r="Q481" s="3">
        <f t="shared" si="50"/>
        <v>1.5800000430000001</v>
      </c>
      <c r="R481" s="4">
        <f t="shared" si="55"/>
        <v>1</v>
      </c>
      <c r="S481" s="3">
        <f t="shared" si="51"/>
        <v>1.5800000430000001</v>
      </c>
      <c r="T481" s="4">
        <f t="shared" si="52"/>
        <v>1</v>
      </c>
      <c r="U481" s="3">
        <f t="shared" si="53"/>
        <v>0.27359308103896107</v>
      </c>
      <c r="V481" s="5">
        <f t="shared" si="54"/>
        <v>30.645568759013003</v>
      </c>
    </row>
    <row r="482" spans="1:22" x14ac:dyDescent="0.3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t="s">
        <v>24</v>
      </c>
      <c r="G482" t="s">
        <v>27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  <c r="P482" s="2">
        <f t="shared" si="49"/>
        <v>2.1512315800795954E-2</v>
      </c>
      <c r="Q482" s="3">
        <f t="shared" si="50"/>
        <v>1.309999943</v>
      </c>
      <c r="R482" s="4">
        <f t="shared" si="55"/>
        <v>0.5</v>
      </c>
      <c r="S482" s="3">
        <f t="shared" si="51"/>
        <v>2.619999886</v>
      </c>
      <c r="T482" s="4">
        <f t="shared" si="52"/>
        <v>0.5</v>
      </c>
      <c r="U482" s="3">
        <f t="shared" si="53"/>
        <v>0.28181132472840703</v>
      </c>
      <c r="V482" s="5">
        <f t="shared" si="54"/>
        <v>18.08397029602008</v>
      </c>
    </row>
    <row r="483" spans="1:22" x14ac:dyDescent="0.3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t="s">
        <v>24</v>
      </c>
      <c r="G483" t="s">
        <v>27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  <c r="P483" s="2">
        <f t="shared" si="49"/>
        <v>0</v>
      </c>
      <c r="Q483" s="3">
        <f t="shared" si="50"/>
        <v>0</v>
      </c>
      <c r="R483" s="4">
        <f t="shared" si="55"/>
        <v>0</v>
      </c>
      <c r="S483" s="3">
        <f t="shared" si="51"/>
        <v>0</v>
      </c>
      <c r="T483" s="4">
        <f t="shared" si="52"/>
        <v>0</v>
      </c>
      <c r="U483" s="3">
        <f t="shared" si="53"/>
        <v>0</v>
      </c>
      <c r="V483" s="5">
        <f t="shared" si="54"/>
        <v>0</v>
      </c>
    </row>
    <row r="484" spans="1:22" x14ac:dyDescent="0.3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t="s">
        <v>24</v>
      </c>
      <c r="G484" t="s">
        <v>27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  <c r="P484" s="2">
        <f t="shared" si="49"/>
        <v>0</v>
      </c>
      <c r="Q484" s="3">
        <f t="shared" si="50"/>
        <v>0</v>
      </c>
      <c r="R484" s="4">
        <f t="shared" si="55"/>
        <v>0</v>
      </c>
      <c r="S484" s="3">
        <f t="shared" si="51"/>
        <v>0</v>
      </c>
      <c r="T484" s="4">
        <f t="shared" si="52"/>
        <v>0</v>
      </c>
      <c r="U484" s="3">
        <f t="shared" si="53"/>
        <v>0</v>
      </c>
      <c r="V484" s="5">
        <f t="shared" si="54"/>
        <v>0</v>
      </c>
    </row>
    <row r="485" spans="1:22" x14ac:dyDescent="0.3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t="s">
        <v>22</v>
      </c>
      <c r="G485" t="s">
        <v>27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  <c r="P485" s="2">
        <f t="shared" si="49"/>
        <v>2.6903416733925208E-2</v>
      </c>
      <c r="Q485" s="3">
        <f t="shared" si="50"/>
        <v>1.539999962</v>
      </c>
      <c r="R485" s="4">
        <f t="shared" si="55"/>
        <v>0</v>
      </c>
      <c r="S485" s="3">
        <f t="shared" si="51"/>
        <v>0</v>
      </c>
      <c r="T485" s="4">
        <f t="shared" si="52"/>
        <v>0</v>
      </c>
      <c r="U485" s="3">
        <f t="shared" si="53"/>
        <v>0.41431260747914983</v>
      </c>
      <c r="V485" s="5">
        <f t="shared" si="54"/>
        <v>-1</v>
      </c>
    </row>
    <row r="486" spans="1:22" x14ac:dyDescent="0.3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t="s">
        <v>22</v>
      </c>
      <c r="G486" t="s">
        <v>27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  <c r="P486" s="2">
        <f t="shared" si="49"/>
        <v>3.473428273706148E-2</v>
      </c>
      <c r="Q486" s="3">
        <f t="shared" si="50"/>
        <v>1.5900000329999999</v>
      </c>
      <c r="R486" s="4">
        <f t="shared" si="55"/>
        <v>2</v>
      </c>
      <c r="S486" s="3">
        <f t="shared" si="51"/>
        <v>0.79500001649999996</v>
      </c>
      <c r="T486" s="4">
        <f t="shared" si="52"/>
        <v>1</v>
      </c>
      <c r="U486" s="3">
        <f t="shared" si="53"/>
        <v>0.55227510698159077</v>
      </c>
      <c r="V486" s="5">
        <f t="shared" si="54"/>
        <v>61.893080455678209</v>
      </c>
    </row>
    <row r="487" spans="1:22" x14ac:dyDescent="0.3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t="s">
        <v>22</v>
      </c>
      <c r="G487" t="s">
        <v>27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  <c r="P487" s="2">
        <f t="shared" si="49"/>
        <v>3.6376864314296105E-2</v>
      </c>
      <c r="Q487" s="3">
        <f t="shared" si="50"/>
        <v>1.3899999860000001</v>
      </c>
      <c r="R487" s="4">
        <f t="shared" si="55"/>
        <v>0</v>
      </c>
      <c r="S487" s="3">
        <f t="shared" si="51"/>
        <v>0</v>
      </c>
      <c r="T487" s="4">
        <f t="shared" si="52"/>
        <v>0</v>
      </c>
      <c r="U487" s="3">
        <f t="shared" si="53"/>
        <v>0.5056384088759549</v>
      </c>
      <c r="V487" s="5">
        <f t="shared" si="54"/>
        <v>-1</v>
      </c>
    </row>
    <row r="488" spans="1:22" x14ac:dyDescent="0.3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t="s">
        <v>26</v>
      </c>
      <c r="G488" t="s">
        <v>27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  <c r="P488" s="2">
        <f t="shared" si="49"/>
        <v>3.7456300982187447E-2</v>
      </c>
      <c r="Q488" s="3">
        <f t="shared" si="50"/>
        <v>1.3766667044444445</v>
      </c>
      <c r="R488" s="4">
        <f t="shared" si="55"/>
        <v>0</v>
      </c>
      <c r="S488" s="3">
        <f t="shared" si="51"/>
        <v>0</v>
      </c>
      <c r="T488" s="4">
        <f t="shared" si="52"/>
        <v>0</v>
      </c>
      <c r="U488" s="3">
        <f t="shared" si="53"/>
        <v>0.51564842433827207</v>
      </c>
      <c r="V488" s="5">
        <f t="shared" si="54"/>
        <v>-1</v>
      </c>
    </row>
    <row r="489" spans="1:22" x14ac:dyDescent="0.3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t="s">
        <v>22</v>
      </c>
      <c r="G489" t="s">
        <v>27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  <c r="P489" s="2">
        <f t="shared" si="49"/>
        <v>0</v>
      </c>
      <c r="Q489" s="3">
        <f t="shared" si="50"/>
        <v>0</v>
      </c>
      <c r="R489" s="4">
        <f t="shared" si="55"/>
        <v>0</v>
      </c>
      <c r="S489" s="3">
        <f t="shared" si="51"/>
        <v>0</v>
      </c>
      <c r="T489" s="4">
        <f t="shared" si="52"/>
        <v>1</v>
      </c>
      <c r="U489" s="3">
        <f t="shared" si="53"/>
        <v>0</v>
      </c>
      <c r="V489" s="5">
        <f t="shared" si="54"/>
        <v>0</v>
      </c>
    </row>
    <row r="490" spans="1:22" x14ac:dyDescent="0.3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t="s">
        <v>22</v>
      </c>
      <c r="G490" t="s">
        <v>27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  <c r="P490" s="2">
        <f t="shared" si="49"/>
        <v>0</v>
      </c>
      <c r="Q490" s="3">
        <f t="shared" si="50"/>
        <v>0</v>
      </c>
      <c r="R490" s="4">
        <f t="shared" si="55"/>
        <v>0</v>
      </c>
      <c r="S490" s="3">
        <f t="shared" si="51"/>
        <v>0</v>
      </c>
      <c r="T490" s="4">
        <f t="shared" si="52"/>
        <v>0.5</v>
      </c>
      <c r="U490" s="3">
        <f t="shared" si="53"/>
        <v>0</v>
      </c>
      <c r="V490" s="5">
        <f t="shared" si="54"/>
        <v>0</v>
      </c>
    </row>
    <row r="491" spans="1:22" x14ac:dyDescent="0.3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t="s">
        <v>22</v>
      </c>
      <c r="G491" t="s">
        <v>27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  <c r="P491" s="2">
        <f t="shared" si="49"/>
        <v>0</v>
      </c>
      <c r="Q491" s="3">
        <f t="shared" si="50"/>
        <v>0</v>
      </c>
      <c r="R491" s="4">
        <f t="shared" si="55"/>
        <v>0</v>
      </c>
      <c r="S491" s="3">
        <f t="shared" si="51"/>
        <v>0</v>
      </c>
      <c r="T491" s="4">
        <f t="shared" si="52"/>
        <v>0</v>
      </c>
      <c r="U491" s="3">
        <f t="shared" si="53"/>
        <v>0</v>
      </c>
      <c r="V491" s="5">
        <f t="shared" si="54"/>
        <v>0</v>
      </c>
    </row>
    <row r="492" spans="1:22" x14ac:dyDescent="0.3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t="s">
        <v>22</v>
      </c>
      <c r="G492" t="s">
        <v>27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  <c r="P492" s="2">
        <f t="shared" si="49"/>
        <v>3.3523298692591352E-2</v>
      </c>
      <c r="Q492" s="3">
        <f t="shared" si="50"/>
        <v>0.97000002900000004</v>
      </c>
      <c r="R492" s="4">
        <f t="shared" si="55"/>
        <v>0</v>
      </c>
      <c r="S492" s="3">
        <f t="shared" si="51"/>
        <v>0</v>
      </c>
      <c r="T492" s="4">
        <f t="shared" si="52"/>
        <v>0</v>
      </c>
      <c r="U492" s="3">
        <f t="shared" si="53"/>
        <v>0.32517600703989274</v>
      </c>
      <c r="V492" s="5">
        <f t="shared" si="54"/>
        <v>-1</v>
      </c>
    </row>
    <row r="493" spans="1:22" x14ac:dyDescent="0.3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t="s">
        <v>22</v>
      </c>
      <c r="G493" t="s">
        <v>27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  <c r="P493" s="2">
        <f t="shared" si="49"/>
        <v>0</v>
      </c>
      <c r="Q493" s="3">
        <f t="shared" si="50"/>
        <v>0</v>
      </c>
      <c r="R493" s="4">
        <f t="shared" si="55"/>
        <v>0</v>
      </c>
      <c r="S493" s="3">
        <f t="shared" si="51"/>
        <v>0</v>
      </c>
      <c r="T493" s="4">
        <f t="shared" si="52"/>
        <v>0</v>
      </c>
      <c r="U493" s="3">
        <f t="shared" si="53"/>
        <v>0</v>
      </c>
      <c r="V493" s="5">
        <f t="shared" si="54"/>
        <v>0</v>
      </c>
    </row>
    <row r="494" spans="1:22" x14ac:dyDescent="0.3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t="s">
        <v>26</v>
      </c>
      <c r="G494" t="s">
        <v>27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  <c r="P494" s="2">
        <f t="shared" si="49"/>
        <v>2.635393332454869E-2</v>
      </c>
      <c r="Q494" s="3">
        <f t="shared" si="50"/>
        <v>1.5750000475000001</v>
      </c>
      <c r="R494" s="4">
        <f t="shared" si="55"/>
        <v>0.5</v>
      </c>
      <c r="S494" s="3">
        <f t="shared" si="51"/>
        <v>3.1500000950000002</v>
      </c>
      <c r="T494" s="4">
        <f t="shared" si="52"/>
        <v>1</v>
      </c>
      <c r="U494" s="3">
        <f t="shared" si="53"/>
        <v>0.4150744623797602</v>
      </c>
      <c r="V494" s="5">
        <f t="shared" si="54"/>
        <v>14.873015394305883</v>
      </c>
    </row>
    <row r="495" spans="1:22" x14ac:dyDescent="0.3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t="s">
        <v>26</v>
      </c>
      <c r="G495" t="s">
        <v>27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  <c r="P495" s="2">
        <f t="shared" si="49"/>
        <v>4.7625851312092203E-2</v>
      </c>
      <c r="Q495" s="3">
        <f t="shared" si="50"/>
        <v>1.194999981</v>
      </c>
      <c r="R495" s="4">
        <f t="shared" si="55"/>
        <v>0</v>
      </c>
      <c r="S495" s="3">
        <f t="shared" si="51"/>
        <v>0</v>
      </c>
      <c r="T495" s="4">
        <f t="shared" si="52"/>
        <v>0</v>
      </c>
      <c r="U495" s="3">
        <f t="shared" si="53"/>
        <v>0.56912891413059008</v>
      </c>
      <c r="V495" s="5">
        <f t="shared" si="54"/>
        <v>-1</v>
      </c>
    </row>
    <row r="496" spans="1:22" x14ac:dyDescent="0.3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t="s">
        <v>26</v>
      </c>
      <c r="G496" t="s">
        <v>27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  <c r="P496" s="2">
        <f t="shared" si="49"/>
        <v>2.1659085986571368E-2</v>
      </c>
      <c r="Q496" s="3">
        <f t="shared" si="50"/>
        <v>1.3600000139999999</v>
      </c>
      <c r="R496" s="4">
        <f t="shared" si="55"/>
        <v>0</v>
      </c>
      <c r="S496" s="3">
        <f t="shared" si="51"/>
        <v>0</v>
      </c>
      <c r="T496" s="4">
        <f t="shared" si="52"/>
        <v>0</v>
      </c>
      <c r="U496" s="3">
        <f t="shared" si="53"/>
        <v>0.2945635724496426</v>
      </c>
      <c r="V496" s="5">
        <f t="shared" si="54"/>
        <v>-1</v>
      </c>
    </row>
    <row r="497" spans="1:22" x14ac:dyDescent="0.3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t="s">
        <v>26</v>
      </c>
      <c r="G497" t="s">
        <v>27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  <c r="P497" s="2">
        <f t="shared" si="49"/>
        <v>0</v>
      </c>
      <c r="Q497" s="3">
        <f t="shared" si="50"/>
        <v>0</v>
      </c>
      <c r="R497" s="4">
        <f t="shared" si="55"/>
        <v>0</v>
      </c>
      <c r="S497" s="3">
        <f t="shared" si="51"/>
        <v>0</v>
      </c>
      <c r="T497" s="4">
        <f t="shared" si="52"/>
        <v>0</v>
      </c>
      <c r="U497" s="3">
        <f t="shared" si="53"/>
        <v>0</v>
      </c>
      <c r="V497" s="5">
        <f t="shared" si="54"/>
        <v>0</v>
      </c>
    </row>
    <row r="498" spans="1:22" x14ac:dyDescent="0.3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t="s">
        <v>22</v>
      </c>
      <c r="G498" t="s">
        <v>27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  <c r="P498" s="2">
        <f t="shared" si="49"/>
        <v>0</v>
      </c>
      <c r="Q498" s="3">
        <f t="shared" si="50"/>
        <v>0</v>
      </c>
      <c r="R498" s="4">
        <f t="shared" si="55"/>
        <v>0</v>
      </c>
      <c r="S498" s="3">
        <f t="shared" si="51"/>
        <v>0</v>
      </c>
      <c r="T498" s="4">
        <f t="shared" si="52"/>
        <v>0</v>
      </c>
      <c r="U498" s="3">
        <f t="shared" si="53"/>
        <v>0</v>
      </c>
      <c r="V498" s="5">
        <f t="shared" si="54"/>
        <v>0</v>
      </c>
    </row>
    <row r="499" spans="1:22" x14ac:dyDescent="0.3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t="s">
        <v>25</v>
      </c>
      <c r="G499" t="s">
        <v>27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  <c r="P499" s="2">
        <f t="shared" si="49"/>
        <v>0</v>
      </c>
      <c r="Q499" s="3">
        <f t="shared" si="50"/>
        <v>0</v>
      </c>
      <c r="R499" s="4">
        <f t="shared" si="55"/>
        <v>0</v>
      </c>
      <c r="S499" s="3">
        <f t="shared" si="51"/>
        <v>0</v>
      </c>
      <c r="T499" s="4">
        <f t="shared" si="52"/>
        <v>0</v>
      </c>
      <c r="U499" s="3">
        <f t="shared" si="53"/>
        <v>0</v>
      </c>
      <c r="V499" s="5">
        <f t="shared" si="54"/>
        <v>0</v>
      </c>
    </row>
    <row r="500" spans="1:22" x14ac:dyDescent="0.3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t="s">
        <v>25</v>
      </c>
      <c r="G500" t="s">
        <v>27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  <c r="P500" s="2">
        <f t="shared" si="49"/>
        <v>0</v>
      </c>
      <c r="Q500" s="3">
        <f t="shared" si="50"/>
        <v>0</v>
      </c>
      <c r="R500" s="4">
        <f t="shared" si="55"/>
        <v>0</v>
      </c>
      <c r="S500" s="3">
        <f t="shared" si="51"/>
        <v>0</v>
      </c>
      <c r="T500" s="4">
        <f t="shared" si="52"/>
        <v>1</v>
      </c>
      <c r="U500" s="3">
        <f t="shared" si="53"/>
        <v>0</v>
      </c>
      <c r="V500" s="5">
        <f t="shared" si="54"/>
        <v>0</v>
      </c>
    </row>
    <row r="501" spans="1:22" x14ac:dyDescent="0.3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t="s">
        <v>25</v>
      </c>
      <c r="G501" t="s">
        <v>27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  <c r="P501" s="2">
        <f t="shared" si="49"/>
        <v>3.1756113051762465E-2</v>
      </c>
      <c r="Q501" s="3">
        <f t="shared" si="50"/>
        <v>1.480000019</v>
      </c>
      <c r="R501" s="4">
        <f t="shared" si="55"/>
        <v>0</v>
      </c>
      <c r="S501" s="3">
        <f t="shared" si="51"/>
        <v>0</v>
      </c>
      <c r="T501" s="4">
        <f t="shared" si="52"/>
        <v>0</v>
      </c>
      <c r="U501" s="3">
        <f t="shared" si="53"/>
        <v>0.46999047919974596</v>
      </c>
      <c r="V501" s="5">
        <f t="shared" si="54"/>
        <v>-1</v>
      </c>
    </row>
    <row r="502" spans="1:22" x14ac:dyDescent="0.3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t="s">
        <v>25</v>
      </c>
      <c r="G502" t="s">
        <v>27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  <c r="P502" s="2">
        <f t="shared" si="49"/>
        <v>0</v>
      </c>
      <c r="Q502" s="3">
        <f t="shared" si="50"/>
        <v>0</v>
      </c>
      <c r="R502" s="4">
        <f t="shared" si="55"/>
        <v>0</v>
      </c>
      <c r="S502" s="3">
        <f t="shared" si="51"/>
        <v>0</v>
      </c>
      <c r="T502" s="4">
        <f t="shared" si="52"/>
        <v>1</v>
      </c>
      <c r="U502" s="3">
        <f t="shared" si="53"/>
        <v>0</v>
      </c>
      <c r="V502" s="5">
        <f t="shared" si="54"/>
        <v>0</v>
      </c>
    </row>
    <row r="503" spans="1:22" x14ac:dyDescent="0.3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t="s">
        <v>24</v>
      </c>
      <c r="G503" t="s">
        <v>27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  <c r="P503" s="2">
        <f t="shared" si="49"/>
        <v>3.901677721420211E-2</v>
      </c>
      <c r="Q503" s="3">
        <f t="shared" si="50"/>
        <v>1.480000019</v>
      </c>
      <c r="R503" s="4">
        <f t="shared" si="55"/>
        <v>0</v>
      </c>
      <c r="S503" s="3">
        <f t="shared" si="51"/>
        <v>0</v>
      </c>
      <c r="T503" s="4">
        <f t="shared" si="52"/>
        <v>0</v>
      </c>
      <c r="U503" s="3">
        <f t="shared" si="53"/>
        <v>0.57744831018337883</v>
      </c>
      <c r="V503" s="5">
        <f t="shared" si="54"/>
        <v>-1</v>
      </c>
    </row>
    <row r="504" spans="1:22" x14ac:dyDescent="0.3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t="s">
        <v>24</v>
      </c>
      <c r="G504" t="s">
        <v>27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  <c r="P504" s="2">
        <f t="shared" si="49"/>
        <v>0</v>
      </c>
      <c r="Q504" s="3">
        <f t="shared" si="50"/>
        <v>0</v>
      </c>
      <c r="R504" s="4">
        <f t="shared" si="55"/>
        <v>0</v>
      </c>
      <c r="S504" s="3">
        <f t="shared" si="51"/>
        <v>0</v>
      </c>
      <c r="T504" s="4">
        <f t="shared" si="52"/>
        <v>0</v>
      </c>
      <c r="U504" s="3">
        <f t="shared" si="53"/>
        <v>0</v>
      </c>
      <c r="V504" s="5">
        <f t="shared" si="54"/>
        <v>0</v>
      </c>
    </row>
    <row r="505" spans="1:22" x14ac:dyDescent="0.3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t="s">
        <v>26</v>
      </c>
      <c r="G505" t="s">
        <v>27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  <c r="P505" s="2">
        <f t="shared" si="49"/>
        <v>4.6829633792263743E-2</v>
      </c>
      <c r="Q505" s="3">
        <f t="shared" si="50"/>
        <v>1.4539999961999999</v>
      </c>
      <c r="R505" s="4">
        <f t="shared" si="55"/>
        <v>0</v>
      </c>
      <c r="S505" s="3">
        <f t="shared" si="51"/>
        <v>0</v>
      </c>
      <c r="T505" s="4">
        <f t="shared" si="52"/>
        <v>0</v>
      </c>
      <c r="U505" s="3">
        <f t="shared" si="53"/>
        <v>0.68090287355998869</v>
      </c>
      <c r="V505" s="5">
        <f t="shared" si="54"/>
        <v>-1</v>
      </c>
    </row>
    <row r="506" spans="1:22" x14ac:dyDescent="0.3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t="s">
        <v>24</v>
      </c>
      <c r="G506" t="s">
        <v>27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  <c r="P506" s="2">
        <f t="shared" si="49"/>
        <v>4.5682960255824578E-2</v>
      </c>
      <c r="Q506" s="3">
        <f t="shared" si="50"/>
        <v>0.40999999599999998</v>
      </c>
      <c r="R506" s="4">
        <f t="shared" si="55"/>
        <v>0</v>
      </c>
      <c r="S506" s="3">
        <f t="shared" si="51"/>
        <v>0</v>
      </c>
      <c r="T506" s="4">
        <f t="shared" si="52"/>
        <v>0</v>
      </c>
      <c r="U506" s="3">
        <f t="shared" si="53"/>
        <v>0.18730013522156236</v>
      </c>
      <c r="V506" s="5">
        <f t="shared" si="54"/>
        <v>-1</v>
      </c>
    </row>
    <row r="507" spans="1:22" x14ac:dyDescent="0.3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t="s">
        <v>26</v>
      </c>
      <c r="G507" t="s">
        <v>27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  <c r="P507" s="2">
        <f t="shared" si="49"/>
        <v>6.1031431187061336E-2</v>
      </c>
      <c r="Q507" s="3">
        <f t="shared" si="50"/>
        <v>1.3400000335</v>
      </c>
      <c r="R507" s="4">
        <f t="shared" si="55"/>
        <v>0</v>
      </c>
      <c r="S507" s="3">
        <f t="shared" si="51"/>
        <v>0</v>
      </c>
      <c r="T507" s="4">
        <f t="shared" si="52"/>
        <v>0</v>
      </c>
      <c r="U507" s="3">
        <f t="shared" si="53"/>
        <v>0.81782119835215139</v>
      </c>
      <c r="V507" s="5">
        <f t="shared" si="54"/>
        <v>-1</v>
      </c>
    </row>
    <row r="508" spans="1:22" x14ac:dyDescent="0.3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t="s">
        <v>26</v>
      </c>
      <c r="G508" t="s">
        <v>27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  <c r="P508" s="2">
        <f t="shared" si="49"/>
        <v>0</v>
      </c>
      <c r="Q508" s="3">
        <f t="shared" si="50"/>
        <v>0</v>
      </c>
      <c r="R508" s="4">
        <f t="shared" si="55"/>
        <v>0</v>
      </c>
      <c r="S508" s="3">
        <f t="shared" si="51"/>
        <v>0</v>
      </c>
      <c r="T508" s="4">
        <f t="shared" si="52"/>
        <v>0</v>
      </c>
      <c r="U508" s="3">
        <f t="shared" si="53"/>
        <v>0</v>
      </c>
      <c r="V508" s="5">
        <f t="shared" si="54"/>
        <v>0</v>
      </c>
    </row>
    <row r="509" spans="1:22" x14ac:dyDescent="0.3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t="s">
        <v>24</v>
      </c>
      <c r="G509" t="s">
        <v>27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  <c r="P509" s="2">
        <f t="shared" si="49"/>
        <v>0</v>
      </c>
      <c r="Q509" s="3">
        <f t="shared" si="50"/>
        <v>0</v>
      </c>
      <c r="R509" s="4">
        <f t="shared" si="55"/>
        <v>0</v>
      </c>
      <c r="S509" s="3">
        <f t="shared" si="51"/>
        <v>0</v>
      </c>
      <c r="T509" s="4">
        <f t="shared" si="52"/>
        <v>0</v>
      </c>
      <c r="U509" s="3">
        <f t="shared" si="53"/>
        <v>0</v>
      </c>
      <c r="V509" s="5">
        <f t="shared" si="54"/>
        <v>0</v>
      </c>
    </row>
    <row r="510" spans="1:22" x14ac:dyDescent="0.3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t="s">
        <v>24</v>
      </c>
      <c r="G510" t="s">
        <v>27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  <c r="P510" s="2">
        <f t="shared" si="49"/>
        <v>2.4579083200196632E-2</v>
      </c>
      <c r="Q510" s="3">
        <f t="shared" si="50"/>
        <v>1.519999981</v>
      </c>
      <c r="R510" s="4">
        <f t="shared" si="55"/>
        <v>0</v>
      </c>
      <c r="S510" s="3">
        <f t="shared" si="51"/>
        <v>0</v>
      </c>
      <c r="T510" s="4">
        <f t="shared" si="52"/>
        <v>0</v>
      </c>
      <c r="U510" s="3">
        <f t="shared" si="53"/>
        <v>0.37360205997296303</v>
      </c>
      <c r="V510" s="5">
        <f t="shared" si="54"/>
        <v>-1</v>
      </c>
    </row>
    <row r="511" spans="1:22" x14ac:dyDescent="0.3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t="s">
        <v>26</v>
      </c>
      <c r="G511" t="s">
        <v>27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  <c r="P511" s="2">
        <f t="shared" si="49"/>
        <v>4.8146364949446317E-2</v>
      </c>
      <c r="Q511" s="3">
        <f t="shared" si="50"/>
        <v>1.5099999900000001</v>
      </c>
      <c r="R511" s="4">
        <f t="shared" si="55"/>
        <v>1</v>
      </c>
      <c r="S511" s="3">
        <f t="shared" si="51"/>
        <v>1.5099999900000001</v>
      </c>
      <c r="T511" s="4">
        <f t="shared" si="52"/>
        <v>1</v>
      </c>
      <c r="U511" s="3">
        <f t="shared" si="53"/>
        <v>0.72701010592200288</v>
      </c>
      <c r="V511" s="5">
        <f t="shared" si="54"/>
        <v>32.11258300074558</v>
      </c>
    </row>
    <row r="512" spans="1:22" x14ac:dyDescent="0.3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t="s">
        <v>22</v>
      </c>
      <c r="G512" t="s">
        <v>27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  <c r="P512" s="2">
        <f t="shared" si="49"/>
        <v>0</v>
      </c>
      <c r="Q512" s="3">
        <f t="shared" si="50"/>
        <v>0</v>
      </c>
      <c r="R512" s="4">
        <f t="shared" si="55"/>
        <v>0</v>
      </c>
      <c r="S512" s="3">
        <f t="shared" si="51"/>
        <v>0</v>
      </c>
      <c r="T512" s="4">
        <f t="shared" si="52"/>
        <v>0</v>
      </c>
      <c r="U512" s="3">
        <f t="shared" si="53"/>
        <v>0</v>
      </c>
      <c r="V512" s="5">
        <f t="shared" si="54"/>
        <v>0</v>
      </c>
    </row>
    <row r="513" spans="1:22" x14ac:dyDescent="0.3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t="s">
        <v>22</v>
      </c>
      <c r="G513" t="s">
        <v>27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  <c r="P513" s="2">
        <f t="shared" si="49"/>
        <v>0</v>
      </c>
      <c r="Q513" s="3">
        <f t="shared" si="50"/>
        <v>0</v>
      </c>
      <c r="R513" s="4">
        <f t="shared" si="55"/>
        <v>0</v>
      </c>
      <c r="S513" s="3">
        <f t="shared" si="51"/>
        <v>0</v>
      </c>
      <c r="T513" s="4">
        <f t="shared" si="52"/>
        <v>0</v>
      </c>
      <c r="U513" s="3">
        <f t="shared" si="53"/>
        <v>0</v>
      </c>
      <c r="V513" s="5">
        <f t="shared" si="54"/>
        <v>0</v>
      </c>
    </row>
    <row r="514" spans="1:22" x14ac:dyDescent="0.3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t="s">
        <v>22</v>
      </c>
      <c r="G514" t="s">
        <v>27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2.0999999049999998</v>
      </c>
      <c r="N514">
        <v>2</v>
      </c>
      <c r="O514">
        <v>0</v>
      </c>
      <c r="P514" s="2">
        <f t="shared" ref="P514:P577" si="56">IF(K514&gt;0, (L514/K514)*100, 0)</f>
        <v>4.3233895373973194E-2</v>
      </c>
      <c r="Q514" s="3">
        <f t="shared" ref="Q514:Q577" si="57">IF(L514&gt;0, M514/L514, 0)</f>
        <v>1.0499999524999999</v>
      </c>
      <c r="R514" s="4">
        <f t="shared" si="55"/>
        <v>0</v>
      </c>
      <c r="S514" s="3">
        <f t="shared" ref="S514:S577" si="58">IF(O514&gt;0, M514/O514, 0)</f>
        <v>0</v>
      </c>
      <c r="T514" s="4">
        <f t="shared" ref="T514:T577" si="59">IF(N514&gt;0, O514/N514, 0)</f>
        <v>0</v>
      </c>
      <c r="U514" s="3">
        <f t="shared" ref="U514:U577" si="60">IF(K514&gt;0, (M514/K514)*1000, 0)</f>
        <v>0.45395588089061817</v>
      </c>
      <c r="V514" s="5">
        <f t="shared" ref="V514:V577" si="61">IF(M514&gt;0, ((O514*50)-M514)/M514, 0)</f>
        <v>-1</v>
      </c>
    </row>
    <row r="515" spans="1:22" x14ac:dyDescent="0.3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t="s">
        <v>22</v>
      </c>
      <c r="G515" t="s">
        <v>27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  <c r="P515" s="2">
        <f t="shared" si="56"/>
        <v>3.6179450072358899E-2</v>
      </c>
      <c r="Q515" s="3">
        <f t="shared" si="57"/>
        <v>1.559999943</v>
      </c>
      <c r="R515" s="4">
        <f t="shared" ref="R515:R578" si="62">IF(L515&gt;0, O515/L515, 0)</f>
        <v>1</v>
      </c>
      <c r="S515" s="3">
        <f t="shared" si="58"/>
        <v>1.559999943</v>
      </c>
      <c r="T515" s="4">
        <f t="shared" si="59"/>
        <v>1</v>
      </c>
      <c r="U515" s="3">
        <f t="shared" si="60"/>
        <v>0.56439940050651238</v>
      </c>
      <c r="V515" s="5">
        <f t="shared" si="61"/>
        <v>31.05128322238663</v>
      </c>
    </row>
    <row r="516" spans="1:22" x14ac:dyDescent="0.3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t="s">
        <v>26</v>
      </c>
      <c r="G516" t="s">
        <v>27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  <c r="P516" s="2">
        <f t="shared" si="56"/>
        <v>3.6717459151826691E-2</v>
      </c>
      <c r="Q516" s="3">
        <f t="shared" si="57"/>
        <v>1.480000019</v>
      </c>
      <c r="R516" s="4">
        <f t="shared" si="62"/>
        <v>0</v>
      </c>
      <c r="S516" s="3">
        <f t="shared" si="58"/>
        <v>0</v>
      </c>
      <c r="T516" s="4">
        <f t="shared" si="59"/>
        <v>0</v>
      </c>
      <c r="U516" s="3">
        <f t="shared" si="60"/>
        <v>0.54341840242335226</v>
      </c>
      <c r="V516" s="5">
        <f t="shared" si="61"/>
        <v>-1</v>
      </c>
    </row>
    <row r="517" spans="1:22" x14ac:dyDescent="0.3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t="s">
        <v>25</v>
      </c>
      <c r="G517" t="s">
        <v>27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  <c r="P517" s="2">
        <f t="shared" si="56"/>
        <v>2.8400014200007102E-2</v>
      </c>
      <c r="Q517" s="3">
        <f t="shared" si="57"/>
        <v>1.5462499862500001</v>
      </c>
      <c r="R517" s="4">
        <f t="shared" si="62"/>
        <v>0.125</v>
      </c>
      <c r="S517" s="3">
        <f t="shared" si="58"/>
        <v>12.369999890000001</v>
      </c>
      <c r="T517" s="4">
        <f t="shared" si="59"/>
        <v>1</v>
      </c>
      <c r="U517" s="3">
        <f t="shared" si="60"/>
        <v>0.43913521566260783</v>
      </c>
      <c r="V517" s="5">
        <f t="shared" si="61"/>
        <v>3.0420372226858601</v>
      </c>
    </row>
    <row r="518" spans="1:22" x14ac:dyDescent="0.3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t="s">
        <v>25</v>
      </c>
      <c r="G518" t="s">
        <v>27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  <c r="P518" s="2">
        <f t="shared" si="56"/>
        <v>0</v>
      </c>
      <c r="Q518" s="3">
        <f t="shared" si="57"/>
        <v>0</v>
      </c>
      <c r="R518" s="4">
        <f t="shared" si="62"/>
        <v>0</v>
      </c>
      <c r="S518" s="3">
        <f t="shared" si="58"/>
        <v>0</v>
      </c>
      <c r="T518" s="4">
        <f t="shared" si="59"/>
        <v>0</v>
      </c>
      <c r="U518" s="3">
        <f t="shared" si="60"/>
        <v>0</v>
      </c>
      <c r="V518" s="5">
        <f t="shared" si="61"/>
        <v>0</v>
      </c>
    </row>
    <row r="519" spans="1:22" x14ac:dyDescent="0.3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t="s">
        <v>24</v>
      </c>
      <c r="G519" t="s">
        <v>27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  <c r="P519" s="2">
        <f t="shared" si="56"/>
        <v>0</v>
      </c>
      <c r="Q519" s="3">
        <f t="shared" si="57"/>
        <v>0</v>
      </c>
      <c r="R519" s="4">
        <f t="shared" si="62"/>
        <v>0</v>
      </c>
      <c r="S519" s="3">
        <f t="shared" si="58"/>
        <v>0</v>
      </c>
      <c r="T519" s="4">
        <f t="shared" si="59"/>
        <v>1</v>
      </c>
      <c r="U519" s="3">
        <f t="shared" si="60"/>
        <v>0</v>
      </c>
      <c r="V519" s="5">
        <f t="shared" si="61"/>
        <v>0</v>
      </c>
    </row>
    <row r="520" spans="1:22" x14ac:dyDescent="0.3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t="s">
        <v>22</v>
      </c>
      <c r="G520" t="s">
        <v>23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  <c r="P520" s="2">
        <f t="shared" si="56"/>
        <v>1.1801948242179327E-2</v>
      </c>
      <c r="Q520" s="3">
        <f t="shared" si="57"/>
        <v>1.8017730212765957</v>
      </c>
      <c r="R520" s="4">
        <f t="shared" si="62"/>
        <v>9.9290780141843976E-2</v>
      </c>
      <c r="S520" s="3">
        <f t="shared" si="58"/>
        <v>18.146428285714286</v>
      </c>
      <c r="T520" s="4">
        <f t="shared" si="59"/>
        <v>0.5</v>
      </c>
      <c r="U520" s="3">
        <f t="shared" si="60"/>
        <v>0.21264431941261452</v>
      </c>
      <c r="V520" s="5">
        <f t="shared" si="61"/>
        <v>1.7553631608795619</v>
      </c>
    </row>
    <row r="521" spans="1:22" x14ac:dyDescent="0.3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t="s">
        <v>22</v>
      </c>
      <c r="G521" t="s">
        <v>23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  <c r="P521" s="2">
        <f t="shared" si="56"/>
        <v>1.0507364564775551E-2</v>
      </c>
      <c r="Q521" s="3">
        <f t="shared" si="57"/>
        <v>1.826865671641791</v>
      </c>
      <c r="R521" s="4">
        <f t="shared" si="62"/>
        <v>7.4626865671641784E-2</v>
      </c>
      <c r="S521" s="3">
        <f t="shared" si="58"/>
        <v>24.48</v>
      </c>
      <c r="T521" s="4">
        <f t="shared" si="59"/>
        <v>0.38461538461538464</v>
      </c>
      <c r="U521" s="3">
        <f t="shared" si="60"/>
        <v>0.1919554362281384</v>
      </c>
      <c r="V521" s="5">
        <f t="shared" si="61"/>
        <v>1.0424836601307188</v>
      </c>
    </row>
    <row r="522" spans="1:22" x14ac:dyDescent="0.3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t="s">
        <v>22</v>
      </c>
      <c r="G522" t="s">
        <v>23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  <c r="P522" s="2">
        <f t="shared" si="56"/>
        <v>0</v>
      </c>
      <c r="Q522" s="3">
        <f t="shared" si="57"/>
        <v>0</v>
      </c>
      <c r="R522" s="4">
        <f t="shared" si="62"/>
        <v>0</v>
      </c>
      <c r="S522" s="3">
        <f t="shared" si="58"/>
        <v>0</v>
      </c>
      <c r="T522" s="4">
        <f t="shared" si="59"/>
        <v>1</v>
      </c>
      <c r="U522" s="3">
        <f t="shared" si="60"/>
        <v>0</v>
      </c>
      <c r="V522" s="5">
        <f t="shared" si="61"/>
        <v>0</v>
      </c>
    </row>
    <row r="523" spans="1:22" x14ac:dyDescent="0.3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t="s">
        <v>22</v>
      </c>
      <c r="G523" t="s">
        <v>23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  <c r="P523" s="2">
        <f t="shared" si="56"/>
        <v>1.0876895299005852E-2</v>
      </c>
      <c r="Q523" s="3">
        <f t="shared" si="57"/>
        <v>1.7266000224000002</v>
      </c>
      <c r="R523" s="4">
        <f t="shared" si="62"/>
        <v>0.04</v>
      </c>
      <c r="S523" s="3">
        <f t="shared" si="58"/>
        <v>43.165000560000003</v>
      </c>
      <c r="T523" s="4">
        <f t="shared" si="59"/>
        <v>0.4</v>
      </c>
      <c r="U523" s="3">
        <f t="shared" si="60"/>
        <v>0.18780047666905961</v>
      </c>
      <c r="V523" s="5">
        <f t="shared" si="61"/>
        <v>0.15834586705261927</v>
      </c>
    </row>
    <row r="524" spans="1:22" x14ac:dyDescent="0.3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t="s">
        <v>22</v>
      </c>
      <c r="G524" t="s">
        <v>23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  <c r="P524" s="2">
        <f t="shared" si="56"/>
        <v>1.146574940671413E-2</v>
      </c>
      <c r="Q524" s="3">
        <f t="shared" si="57"/>
        <v>1.8826744081395348</v>
      </c>
      <c r="R524" s="4">
        <f t="shared" si="62"/>
        <v>2.3255813953488372E-2</v>
      </c>
      <c r="S524" s="3">
        <f t="shared" si="58"/>
        <v>80.954999549999997</v>
      </c>
      <c r="T524" s="4">
        <f t="shared" si="59"/>
        <v>0.18181818181818182</v>
      </c>
      <c r="U524" s="3">
        <f t="shared" si="60"/>
        <v>0.21586272978161744</v>
      </c>
      <c r="V524" s="5">
        <f t="shared" si="61"/>
        <v>-0.38237291979578547</v>
      </c>
    </row>
    <row r="525" spans="1:22" x14ac:dyDescent="0.3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t="s">
        <v>22</v>
      </c>
      <c r="G525" t="s">
        <v>23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  <c r="P525" s="2">
        <f t="shared" si="56"/>
        <v>3.3257948649727284E-3</v>
      </c>
      <c r="Q525" s="3">
        <f t="shared" si="57"/>
        <v>1.8200000519999999</v>
      </c>
      <c r="R525" s="4">
        <f t="shared" si="62"/>
        <v>0</v>
      </c>
      <c r="S525" s="3">
        <f t="shared" si="58"/>
        <v>0</v>
      </c>
      <c r="T525" s="4">
        <f t="shared" si="59"/>
        <v>0</v>
      </c>
      <c r="U525" s="3">
        <f t="shared" si="60"/>
        <v>6.0529468271916985E-2</v>
      </c>
      <c r="V525" s="5">
        <f t="shared" si="61"/>
        <v>-1</v>
      </c>
    </row>
    <row r="526" spans="1:22" x14ac:dyDescent="0.3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t="s">
        <v>22</v>
      </c>
      <c r="G526" t="s">
        <v>23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  <c r="P526" s="2">
        <f t="shared" si="56"/>
        <v>9.7037592205435671E-3</v>
      </c>
      <c r="Q526" s="3">
        <f t="shared" si="57"/>
        <v>1.9249593382113821</v>
      </c>
      <c r="R526" s="4">
        <f t="shared" si="62"/>
        <v>8.1300813008130079E-2</v>
      </c>
      <c r="S526" s="3">
        <f t="shared" si="58"/>
        <v>23.676999860000002</v>
      </c>
      <c r="T526" s="4">
        <f t="shared" si="59"/>
        <v>0.41666666666666669</v>
      </c>
      <c r="U526" s="3">
        <f t="shared" si="60"/>
        <v>0.18679341927340143</v>
      </c>
      <c r="V526" s="5">
        <f t="shared" si="61"/>
        <v>1.1117540353780277</v>
      </c>
    </row>
    <row r="527" spans="1:22" x14ac:dyDescent="0.3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t="s">
        <v>22</v>
      </c>
      <c r="G527" t="s">
        <v>23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  <c r="P527" s="2">
        <f t="shared" si="56"/>
        <v>1.1140224960460392E-2</v>
      </c>
      <c r="Q527" s="3">
        <f t="shared" si="57"/>
        <v>1.8822058767647059</v>
      </c>
      <c r="R527" s="4">
        <f t="shared" si="62"/>
        <v>0.05</v>
      </c>
      <c r="S527" s="3">
        <f t="shared" si="58"/>
        <v>37.644117535294122</v>
      </c>
      <c r="T527" s="4">
        <f t="shared" si="59"/>
        <v>0.28333333333333333</v>
      </c>
      <c r="U527" s="3">
        <f t="shared" si="60"/>
        <v>0.20968196889059415</v>
      </c>
      <c r="V527" s="5">
        <f t="shared" si="61"/>
        <v>0.32822877181597726</v>
      </c>
    </row>
    <row r="528" spans="1:22" x14ac:dyDescent="0.3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t="s">
        <v>22</v>
      </c>
      <c r="G528" t="s">
        <v>23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  <c r="P528" s="2">
        <f t="shared" si="56"/>
        <v>3.3394556687259976E-3</v>
      </c>
      <c r="Q528" s="3">
        <f t="shared" si="57"/>
        <v>1.5900000329999999</v>
      </c>
      <c r="R528" s="4">
        <f t="shared" si="62"/>
        <v>1</v>
      </c>
      <c r="S528" s="3">
        <f t="shared" si="58"/>
        <v>1.5900000329999999</v>
      </c>
      <c r="T528" s="4">
        <f t="shared" si="59"/>
        <v>0.5</v>
      </c>
      <c r="U528" s="3">
        <f t="shared" si="60"/>
        <v>5.3097346234763726E-2</v>
      </c>
      <c r="V528" s="5">
        <f t="shared" si="61"/>
        <v>30.446540227839101</v>
      </c>
    </row>
    <row r="529" spans="1:22" x14ac:dyDescent="0.3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t="s">
        <v>22</v>
      </c>
      <c r="G529" t="s">
        <v>23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  <c r="P529" s="2">
        <f t="shared" si="56"/>
        <v>8.3832603058213353E-3</v>
      </c>
      <c r="Q529" s="3">
        <f t="shared" si="57"/>
        <v>1.7656666716666665</v>
      </c>
      <c r="R529" s="4">
        <f t="shared" si="62"/>
        <v>0.1</v>
      </c>
      <c r="S529" s="3">
        <f t="shared" si="58"/>
        <v>17.656666716666667</v>
      </c>
      <c r="T529" s="4">
        <f t="shared" si="59"/>
        <v>0.42857142857142855</v>
      </c>
      <c r="U529" s="3">
        <f t="shared" si="60"/>
        <v>0.14802043321894842</v>
      </c>
      <c r="V529" s="5">
        <f t="shared" si="61"/>
        <v>1.8317915721206581</v>
      </c>
    </row>
    <row r="530" spans="1:22" x14ac:dyDescent="0.3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t="s">
        <v>22</v>
      </c>
      <c r="G530" t="s">
        <v>23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  <c r="P530" s="2">
        <f t="shared" si="56"/>
        <v>9.7084298969656833E-3</v>
      </c>
      <c r="Q530" s="3">
        <f t="shared" si="57"/>
        <v>1.7829207995049503</v>
      </c>
      <c r="R530" s="4">
        <f t="shared" si="62"/>
        <v>0.10396039603960396</v>
      </c>
      <c r="S530" s="3">
        <f t="shared" si="58"/>
        <v>17.150000071428572</v>
      </c>
      <c r="T530" s="4">
        <f t="shared" si="59"/>
        <v>0.52500000000000002</v>
      </c>
      <c r="U530" s="3">
        <f t="shared" si="60"/>
        <v>0.17309361593835818</v>
      </c>
      <c r="V530" s="5">
        <f t="shared" si="61"/>
        <v>1.9154518829010754</v>
      </c>
    </row>
    <row r="531" spans="1:22" x14ac:dyDescent="0.3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t="s">
        <v>22</v>
      </c>
      <c r="G531" t="s">
        <v>23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  <c r="P531" s="2">
        <f t="shared" si="56"/>
        <v>6.1644257837382447E-3</v>
      </c>
      <c r="Q531" s="3">
        <f t="shared" si="57"/>
        <v>1.8355555666666667</v>
      </c>
      <c r="R531" s="4">
        <f t="shared" si="62"/>
        <v>0.22222222222222221</v>
      </c>
      <c r="S531" s="3">
        <f t="shared" si="58"/>
        <v>8.2600000500000004</v>
      </c>
      <c r="T531" s="4">
        <f t="shared" si="59"/>
        <v>0.4</v>
      </c>
      <c r="U531" s="3">
        <f t="shared" si="60"/>
        <v>0.11315146062644266</v>
      </c>
      <c r="V531" s="5">
        <f t="shared" si="61"/>
        <v>5.0532687284911093</v>
      </c>
    </row>
    <row r="532" spans="1:22" x14ac:dyDescent="0.3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t="s">
        <v>22</v>
      </c>
      <c r="G532" t="s">
        <v>23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  <c r="P532" s="2">
        <f t="shared" si="56"/>
        <v>3.06597988717194E-3</v>
      </c>
      <c r="Q532" s="3">
        <f t="shared" si="57"/>
        <v>1.539999962</v>
      </c>
      <c r="R532" s="4">
        <f t="shared" si="62"/>
        <v>0</v>
      </c>
      <c r="S532" s="3">
        <f t="shared" si="58"/>
        <v>0</v>
      </c>
      <c r="T532" s="4">
        <f t="shared" si="59"/>
        <v>0</v>
      </c>
      <c r="U532" s="3">
        <f t="shared" si="60"/>
        <v>4.7216089097375527E-2</v>
      </c>
      <c r="V532" s="5">
        <f t="shared" si="61"/>
        <v>-1</v>
      </c>
    </row>
    <row r="533" spans="1:22" x14ac:dyDescent="0.3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t="s">
        <v>22</v>
      </c>
      <c r="G533" t="s">
        <v>23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  <c r="P533" s="2">
        <f t="shared" si="56"/>
        <v>9.6493624818566603E-3</v>
      </c>
      <c r="Q533" s="3">
        <f t="shared" si="57"/>
        <v>1.7252631284210527</v>
      </c>
      <c r="R533" s="4">
        <f t="shared" si="62"/>
        <v>0.14736842105263157</v>
      </c>
      <c r="S533" s="3">
        <f t="shared" si="58"/>
        <v>11.707142657142857</v>
      </c>
      <c r="T533" s="4">
        <f t="shared" si="59"/>
        <v>0.53846153846153844</v>
      </c>
      <c r="U533" s="3">
        <f t="shared" si="60"/>
        <v>0.16647689302716753</v>
      </c>
      <c r="V533" s="5">
        <f t="shared" si="61"/>
        <v>3.2708969613087948</v>
      </c>
    </row>
    <row r="534" spans="1:22" x14ac:dyDescent="0.3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t="s">
        <v>22</v>
      </c>
      <c r="G534" t="s">
        <v>23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  <c r="P534" s="2">
        <f t="shared" si="56"/>
        <v>1.3964355698251843E-2</v>
      </c>
      <c r="Q534" s="3">
        <f t="shared" si="57"/>
        <v>1.7102439073170732</v>
      </c>
      <c r="R534" s="4">
        <f t="shared" si="62"/>
        <v>1.6260162601626018E-2</v>
      </c>
      <c r="S534" s="3">
        <f t="shared" si="58"/>
        <v>105.1800003</v>
      </c>
      <c r="T534" s="4">
        <f t="shared" si="59"/>
        <v>0.33333333333333331</v>
      </c>
      <c r="U534" s="3">
        <f t="shared" si="60"/>
        <v>0.23882454252543672</v>
      </c>
      <c r="V534" s="5">
        <f t="shared" si="61"/>
        <v>-0.52462445467401275</v>
      </c>
    </row>
    <row r="535" spans="1:22" x14ac:dyDescent="0.3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t="s">
        <v>22</v>
      </c>
      <c r="G535" t="s">
        <v>23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  <c r="P535" s="2">
        <f t="shared" si="56"/>
        <v>1.0961787209786683E-2</v>
      </c>
      <c r="Q535" s="3">
        <f t="shared" si="57"/>
        <v>1.7865000129999999</v>
      </c>
      <c r="R535" s="4">
        <f t="shared" si="62"/>
        <v>0.05</v>
      </c>
      <c r="S535" s="3">
        <f t="shared" si="58"/>
        <v>35.730000259999997</v>
      </c>
      <c r="T535" s="4">
        <f t="shared" si="59"/>
        <v>0.25</v>
      </c>
      <c r="U535" s="3">
        <f t="shared" si="60"/>
        <v>0.19583232992787142</v>
      </c>
      <c r="V535" s="5">
        <f t="shared" si="61"/>
        <v>0.39938426073775807</v>
      </c>
    </row>
    <row r="536" spans="1:22" x14ac:dyDescent="0.3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t="s">
        <v>22</v>
      </c>
      <c r="G536" t="s">
        <v>23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  <c r="P536" s="2">
        <f t="shared" si="56"/>
        <v>1.3409154653367766E-2</v>
      </c>
      <c r="Q536" s="3">
        <f t="shared" si="57"/>
        <v>1.7986666616666667</v>
      </c>
      <c r="R536" s="4">
        <f t="shared" si="62"/>
        <v>3.3333333333333333E-2</v>
      </c>
      <c r="S536" s="3">
        <f t="shared" si="58"/>
        <v>53.959999850000003</v>
      </c>
      <c r="T536" s="4">
        <f t="shared" si="59"/>
        <v>0.5714285714285714</v>
      </c>
      <c r="U536" s="3">
        <f t="shared" si="60"/>
        <v>0.2411859943614505</v>
      </c>
      <c r="V536" s="5">
        <f t="shared" si="61"/>
        <v>-7.3387692012753081E-2</v>
      </c>
    </row>
    <row r="537" spans="1:22" x14ac:dyDescent="0.3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t="s">
        <v>22</v>
      </c>
      <c r="G537" t="s">
        <v>23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  <c r="P537" s="2">
        <f t="shared" si="56"/>
        <v>6.3797888289897613E-3</v>
      </c>
      <c r="Q537" s="3">
        <f t="shared" si="57"/>
        <v>1.900000036</v>
      </c>
      <c r="R537" s="4">
        <f t="shared" si="62"/>
        <v>0</v>
      </c>
      <c r="S537" s="3">
        <f t="shared" si="58"/>
        <v>0</v>
      </c>
      <c r="T537" s="4">
        <f t="shared" si="59"/>
        <v>0</v>
      </c>
      <c r="U537" s="3">
        <f t="shared" si="60"/>
        <v>0.12121599004752943</v>
      </c>
      <c r="V537" s="5">
        <f t="shared" si="61"/>
        <v>-1</v>
      </c>
    </row>
    <row r="538" spans="1:22" x14ac:dyDescent="0.3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t="s">
        <v>22</v>
      </c>
      <c r="G538" t="s">
        <v>23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  <c r="P538" s="2">
        <f t="shared" si="56"/>
        <v>1.340449903731325E-2</v>
      </c>
      <c r="Q538" s="3">
        <f t="shared" si="57"/>
        <v>1.7600000099999999</v>
      </c>
      <c r="R538" s="4">
        <f t="shared" si="62"/>
        <v>0</v>
      </c>
      <c r="S538" s="3">
        <f t="shared" si="58"/>
        <v>0</v>
      </c>
      <c r="T538" s="4">
        <f t="shared" si="59"/>
        <v>0</v>
      </c>
      <c r="U538" s="3">
        <f t="shared" si="60"/>
        <v>0.23591918439716311</v>
      </c>
      <c r="V538" s="5">
        <f t="shared" si="61"/>
        <v>-1</v>
      </c>
    </row>
    <row r="539" spans="1:22" x14ac:dyDescent="0.3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t="s">
        <v>22</v>
      </c>
      <c r="G539" t="s">
        <v>23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  <c r="P539" s="2">
        <f t="shared" si="56"/>
        <v>1.5547209363263169E-2</v>
      </c>
      <c r="Q539" s="3">
        <f t="shared" si="57"/>
        <v>1.7677527865168539</v>
      </c>
      <c r="R539" s="4">
        <f t="shared" si="62"/>
        <v>4.49438202247191E-2</v>
      </c>
      <c r="S539" s="3">
        <f t="shared" si="58"/>
        <v>39.332499499999997</v>
      </c>
      <c r="T539" s="4">
        <f t="shared" si="59"/>
        <v>0.5714285714285714</v>
      </c>
      <c r="U539" s="3">
        <f t="shared" si="60"/>
        <v>0.27483622674469388</v>
      </c>
      <c r="V539" s="5">
        <f t="shared" si="61"/>
        <v>0.27121338932452038</v>
      </c>
    </row>
    <row r="540" spans="1:22" x14ac:dyDescent="0.3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t="s">
        <v>22</v>
      </c>
      <c r="G540" t="s">
        <v>23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  <c r="P540" s="2">
        <f t="shared" si="56"/>
        <v>1.5188489150355918E-2</v>
      </c>
      <c r="Q540" s="3">
        <f t="shared" si="57"/>
        <v>1.7713332973333331</v>
      </c>
      <c r="R540" s="4">
        <f t="shared" si="62"/>
        <v>6.6666666666666666E-2</v>
      </c>
      <c r="S540" s="3">
        <f t="shared" si="58"/>
        <v>26.569999459999998</v>
      </c>
      <c r="T540" s="4">
        <f t="shared" si="59"/>
        <v>1</v>
      </c>
      <c r="U540" s="3">
        <f t="shared" si="60"/>
        <v>0.26903876568211504</v>
      </c>
      <c r="V540" s="5">
        <f t="shared" si="61"/>
        <v>0.8818216415575344</v>
      </c>
    </row>
    <row r="541" spans="1:22" x14ac:dyDescent="0.3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t="s">
        <v>22</v>
      </c>
      <c r="G541" t="s">
        <v>23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  <c r="P541" s="2">
        <f t="shared" si="56"/>
        <v>1.5635360235804394E-2</v>
      </c>
      <c r="Q541" s="3">
        <f t="shared" si="57"/>
        <v>1.7238888872222222</v>
      </c>
      <c r="R541" s="4">
        <f t="shared" si="62"/>
        <v>5.5555555555555552E-2</v>
      </c>
      <c r="S541" s="3">
        <f t="shared" si="58"/>
        <v>31.029999970000002</v>
      </c>
      <c r="T541" s="4">
        <f t="shared" si="59"/>
        <v>0.42857142857142855</v>
      </c>
      <c r="U541" s="3">
        <f t="shared" si="60"/>
        <v>0.26953623758219425</v>
      </c>
      <c r="V541" s="5">
        <f t="shared" si="61"/>
        <v>0.61134386233774785</v>
      </c>
    </row>
    <row r="542" spans="1:22" x14ac:dyDescent="0.3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t="s">
        <v>22</v>
      </c>
      <c r="G542" t="s">
        <v>23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  <c r="P542" s="2">
        <f t="shared" si="56"/>
        <v>1.4201958017777148E-2</v>
      </c>
      <c r="Q542" s="3">
        <f t="shared" si="57"/>
        <v>1.7156521782608696</v>
      </c>
      <c r="R542" s="4">
        <f t="shared" si="62"/>
        <v>2.1739130434782608E-2</v>
      </c>
      <c r="S542" s="3">
        <f t="shared" si="58"/>
        <v>78.920000200000004</v>
      </c>
      <c r="T542" s="4">
        <f t="shared" si="59"/>
        <v>0.2</v>
      </c>
      <c r="U542" s="3">
        <f t="shared" si="60"/>
        <v>0.24365620208768785</v>
      </c>
      <c r="V542" s="5">
        <f t="shared" si="61"/>
        <v>-0.36644703657768113</v>
      </c>
    </row>
    <row r="543" spans="1:22" x14ac:dyDescent="0.3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t="s">
        <v>22</v>
      </c>
      <c r="G543" t="s">
        <v>23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  <c r="P543" s="2">
        <f t="shared" si="56"/>
        <v>1.4529094511759799E-2</v>
      </c>
      <c r="Q543" s="3">
        <f t="shared" si="57"/>
        <v>1.7784482793103447</v>
      </c>
      <c r="R543" s="4">
        <f t="shared" si="62"/>
        <v>0</v>
      </c>
      <c r="S543" s="3">
        <f t="shared" si="58"/>
        <v>0</v>
      </c>
      <c r="T543" s="4">
        <f t="shared" si="59"/>
        <v>0</v>
      </c>
      <c r="U543" s="3">
        <f t="shared" si="60"/>
        <v>0.25839243134376588</v>
      </c>
      <c r="V543" s="5">
        <f t="shared" si="61"/>
        <v>-1</v>
      </c>
    </row>
    <row r="544" spans="1:22" x14ac:dyDescent="0.3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t="s">
        <v>22</v>
      </c>
      <c r="G544" t="s">
        <v>23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  <c r="P544" s="2">
        <f t="shared" si="56"/>
        <v>1.285031716919195E-2</v>
      </c>
      <c r="Q544" s="3">
        <f t="shared" si="57"/>
        <v>1.6604545549999998</v>
      </c>
      <c r="R544" s="4">
        <f t="shared" si="62"/>
        <v>4.5454545454545456E-2</v>
      </c>
      <c r="S544" s="3">
        <f t="shared" si="58"/>
        <v>36.530000209999997</v>
      </c>
      <c r="T544" s="4">
        <f t="shared" si="59"/>
        <v>0.33333333333333331</v>
      </c>
      <c r="U544" s="3">
        <f t="shared" si="60"/>
        <v>0.21337367676779476</v>
      </c>
      <c r="V544" s="5">
        <f t="shared" si="61"/>
        <v>0.3687380156738303</v>
      </c>
    </row>
    <row r="545" spans="1:22" x14ac:dyDescent="0.3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t="s">
        <v>22</v>
      </c>
      <c r="G545" t="s">
        <v>23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  <c r="P545" s="2">
        <f t="shared" si="56"/>
        <v>1.1683516894365429E-2</v>
      </c>
      <c r="Q545" s="3">
        <f t="shared" si="57"/>
        <v>1.9233333346666666</v>
      </c>
      <c r="R545" s="4">
        <f t="shared" si="62"/>
        <v>6.6666666666666666E-2</v>
      </c>
      <c r="S545" s="3">
        <f t="shared" si="58"/>
        <v>28.85000002</v>
      </c>
      <c r="T545" s="4">
        <f t="shared" si="59"/>
        <v>0.5</v>
      </c>
      <c r="U545" s="3">
        <f t="shared" si="60"/>
        <v>0.22471297509074198</v>
      </c>
      <c r="V545" s="5">
        <f t="shared" si="61"/>
        <v>0.7331022518314716</v>
      </c>
    </row>
    <row r="546" spans="1:22" x14ac:dyDescent="0.3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t="s">
        <v>22</v>
      </c>
      <c r="G546" t="s">
        <v>23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  <c r="P546" s="2">
        <f t="shared" si="56"/>
        <v>1.4696156954956279E-2</v>
      </c>
      <c r="Q546" s="3">
        <f t="shared" si="57"/>
        <v>1.6954605171052632</v>
      </c>
      <c r="R546" s="4">
        <f t="shared" si="62"/>
        <v>5.921052631578947E-2</v>
      </c>
      <c r="S546" s="3">
        <f t="shared" si="58"/>
        <v>28.63444428888889</v>
      </c>
      <c r="T546" s="4">
        <f t="shared" si="59"/>
        <v>0.45</v>
      </c>
      <c r="U546" s="3">
        <f t="shared" si="60"/>
        <v>0.24916753870310279</v>
      </c>
      <c r="V546" s="5">
        <f t="shared" si="61"/>
        <v>0.74614878136125207</v>
      </c>
    </row>
    <row r="547" spans="1:22" x14ac:dyDescent="0.3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t="s">
        <v>22</v>
      </c>
      <c r="G547" t="s">
        <v>23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  <c r="P547" s="2">
        <f t="shared" si="56"/>
        <v>1.0887790431809768E-2</v>
      </c>
      <c r="Q547" s="3">
        <f t="shared" si="57"/>
        <v>1.4440000296</v>
      </c>
      <c r="R547" s="4">
        <f t="shared" si="62"/>
        <v>0</v>
      </c>
      <c r="S547" s="3">
        <f t="shared" si="58"/>
        <v>0</v>
      </c>
      <c r="T547" s="4">
        <f t="shared" si="59"/>
        <v>0</v>
      </c>
      <c r="U547" s="3">
        <f t="shared" si="60"/>
        <v>0.15721969705811903</v>
      </c>
      <c r="V547" s="5">
        <f t="shared" si="61"/>
        <v>-1</v>
      </c>
    </row>
    <row r="548" spans="1:22" x14ac:dyDescent="0.3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t="s">
        <v>22</v>
      </c>
      <c r="G548" t="s">
        <v>23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  <c r="P548" s="2">
        <f t="shared" si="56"/>
        <v>9.7864115675384729E-3</v>
      </c>
      <c r="Q548" s="3">
        <f t="shared" si="57"/>
        <v>1.974999994</v>
      </c>
      <c r="R548" s="4">
        <f t="shared" si="62"/>
        <v>0.25</v>
      </c>
      <c r="S548" s="3">
        <f t="shared" si="58"/>
        <v>7.8999999760000001</v>
      </c>
      <c r="T548" s="4">
        <f t="shared" si="59"/>
        <v>0.5</v>
      </c>
      <c r="U548" s="3">
        <f t="shared" si="60"/>
        <v>0.19328162787170014</v>
      </c>
      <c r="V548" s="5">
        <f t="shared" si="61"/>
        <v>5.3291139432783199</v>
      </c>
    </row>
    <row r="549" spans="1:22" x14ac:dyDescent="0.3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t="s">
        <v>22</v>
      </c>
      <c r="G549" t="s">
        <v>23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  <c r="P549" s="2">
        <f t="shared" si="56"/>
        <v>1.186516979406951E-2</v>
      </c>
      <c r="Q549" s="3">
        <f t="shared" si="57"/>
        <v>1.8252941300000001</v>
      </c>
      <c r="R549" s="4">
        <f t="shared" si="62"/>
        <v>2.9411764705882353E-2</v>
      </c>
      <c r="S549" s="3">
        <f t="shared" si="58"/>
        <v>62.060000420000001</v>
      </c>
      <c r="T549" s="4">
        <f t="shared" si="59"/>
        <v>0.5</v>
      </c>
      <c r="U549" s="3">
        <f t="shared" si="60"/>
        <v>0.21657424776568385</v>
      </c>
      <c r="V549" s="5">
        <f t="shared" si="61"/>
        <v>-0.19432807506255576</v>
      </c>
    </row>
    <row r="550" spans="1:22" x14ac:dyDescent="0.3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t="s">
        <v>22</v>
      </c>
      <c r="G550" t="s">
        <v>23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2.0999999049999998</v>
      </c>
      <c r="N550">
        <v>2</v>
      </c>
      <c r="O550">
        <v>1</v>
      </c>
      <c r="P550" s="2">
        <f t="shared" si="56"/>
        <v>4.8501309535357454E-3</v>
      </c>
      <c r="Q550" s="3">
        <f t="shared" si="57"/>
        <v>2.0999999049999998</v>
      </c>
      <c r="R550" s="4">
        <f t="shared" si="62"/>
        <v>1</v>
      </c>
      <c r="S550" s="3">
        <f t="shared" si="58"/>
        <v>2.0999999049999998</v>
      </c>
      <c r="T550" s="4">
        <f t="shared" si="59"/>
        <v>0.5</v>
      </c>
      <c r="U550" s="3">
        <f t="shared" si="60"/>
        <v>0.10185274541662624</v>
      </c>
      <c r="V550" s="5">
        <f t="shared" si="61"/>
        <v>22.809524886621368</v>
      </c>
    </row>
    <row r="551" spans="1:22" x14ac:dyDescent="0.3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t="s">
        <v>22</v>
      </c>
      <c r="G551" t="s">
        <v>23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  <c r="P551" s="2">
        <f t="shared" si="56"/>
        <v>8.3741072603509947E-3</v>
      </c>
      <c r="Q551" s="3">
        <f t="shared" si="57"/>
        <v>2.0200000657142856</v>
      </c>
      <c r="R551" s="4">
        <f t="shared" si="62"/>
        <v>0.2857142857142857</v>
      </c>
      <c r="S551" s="3">
        <f t="shared" si="58"/>
        <v>7.0700002299999998</v>
      </c>
      <c r="T551" s="4">
        <f t="shared" si="59"/>
        <v>1</v>
      </c>
      <c r="U551" s="3">
        <f t="shared" si="60"/>
        <v>0.16915697216207487</v>
      </c>
      <c r="V551" s="5">
        <f t="shared" si="61"/>
        <v>6.0721355549375993</v>
      </c>
    </row>
    <row r="552" spans="1:22" x14ac:dyDescent="0.3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t="s">
        <v>22</v>
      </c>
      <c r="G552" t="s">
        <v>23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  <c r="P552" s="2">
        <f t="shared" si="56"/>
        <v>1.0441774057412354E-2</v>
      </c>
      <c r="Q552" s="3">
        <f t="shared" si="57"/>
        <v>1.9775000216666667</v>
      </c>
      <c r="R552" s="4">
        <f t="shared" si="62"/>
        <v>0.16666666666666666</v>
      </c>
      <c r="S552" s="3">
        <f t="shared" si="58"/>
        <v>11.86500013</v>
      </c>
      <c r="T552" s="4">
        <f t="shared" si="59"/>
        <v>0.5</v>
      </c>
      <c r="U552" s="3">
        <f t="shared" si="60"/>
        <v>0.20648608424771367</v>
      </c>
      <c r="V552" s="5">
        <f t="shared" si="61"/>
        <v>3.2140749643632747</v>
      </c>
    </row>
    <row r="553" spans="1:22" x14ac:dyDescent="0.3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t="s">
        <v>22</v>
      </c>
      <c r="G553" t="s">
        <v>23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  <c r="P553" s="2">
        <f t="shared" si="56"/>
        <v>3.999680025597952E-3</v>
      </c>
      <c r="Q553" s="3">
        <f t="shared" si="57"/>
        <v>1.710000038</v>
      </c>
      <c r="R553" s="4">
        <f t="shared" si="62"/>
        <v>0</v>
      </c>
      <c r="S553" s="3">
        <f t="shared" si="58"/>
        <v>0</v>
      </c>
      <c r="T553" s="4">
        <f t="shared" si="59"/>
        <v>0</v>
      </c>
      <c r="U553" s="3">
        <f t="shared" si="60"/>
        <v>6.8394529957603395E-2</v>
      </c>
      <c r="V553" s="5">
        <f t="shared" si="61"/>
        <v>-1</v>
      </c>
    </row>
    <row r="554" spans="1:22" x14ac:dyDescent="0.3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t="s">
        <v>22</v>
      </c>
      <c r="G554" t="s">
        <v>23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  <c r="P554" s="2">
        <f t="shared" si="56"/>
        <v>7.256367462448299E-3</v>
      </c>
      <c r="Q554" s="3">
        <f t="shared" si="57"/>
        <v>1.8880000114000002</v>
      </c>
      <c r="R554" s="4">
        <f t="shared" si="62"/>
        <v>0</v>
      </c>
      <c r="S554" s="3">
        <f t="shared" si="58"/>
        <v>0</v>
      </c>
      <c r="T554" s="4">
        <f t="shared" si="59"/>
        <v>0</v>
      </c>
      <c r="U554" s="3">
        <f t="shared" si="60"/>
        <v>0.13700021851824976</v>
      </c>
      <c r="V554" s="5">
        <f t="shared" si="61"/>
        <v>-1</v>
      </c>
    </row>
    <row r="555" spans="1:22" x14ac:dyDescent="0.3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t="s">
        <v>22</v>
      </c>
      <c r="G555" t="s">
        <v>23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27.799999239999998</v>
      </c>
      <c r="N555">
        <v>1</v>
      </c>
      <c r="O555">
        <v>0</v>
      </c>
      <c r="P555" s="2">
        <f t="shared" si="56"/>
        <v>9.4346298087128796E-3</v>
      </c>
      <c r="Q555" s="3">
        <f t="shared" si="57"/>
        <v>1.7374999524999999</v>
      </c>
      <c r="R555" s="4">
        <f t="shared" si="62"/>
        <v>0</v>
      </c>
      <c r="S555" s="3">
        <f t="shared" si="58"/>
        <v>0</v>
      </c>
      <c r="T555" s="4">
        <f t="shared" si="59"/>
        <v>0</v>
      </c>
      <c r="U555" s="3">
        <f t="shared" si="60"/>
        <v>0.16392668844493713</v>
      </c>
      <c r="V555" s="5">
        <f t="shared" si="61"/>
        <v>-1</v>
      </c>
    </row>
    <row r="556" spans="1:22" x14ac:dyDescent="0.3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t="s">
        <v>22</v>
      </c>
      <c r="G556" t="s">
        <v>23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  <c r="P556" s="2">
        <f t="shared" si="56"/>
        <v>1.0638588897568626E-2</v>
      </c>
      <c r="Q556" s="3">
        <f t="shared" si="57"/>
        <v>1.9328571591428572</v>
      </c>
      <c r="R556" s="4">
        <f t="shared" si="62"/>
        <v>5.7142857142857141E-2</v>
      </c>
      <c r="S556" s="3">
        <f t="shared" si="58"/>
        <v>33.825000285000002</v>
      </c>
      <c r="T556" s="4">
        <f t="shared" si="59"/>
        <v>0.4</v>
      </c>
      <c r="U556" s="3">
        <f t="shared" si="60"/>
        <v>0.20562872713843236</v>
      </c>
      <c r="V556" s="5">
        <f t="shared" si="61"/>
        <v>0.47819658769294809</v>
      </c>
    </row>
    <row r="557" spans="1:22" x14ac:dyDescent="0.3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t="s">
        <v>22</v>
      </c>
      <c r="G557" t="s">
        <v>23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  <c r="P557" s="2">
        <f t="shared" si="56"/>
        <v>8.6214328821450133E-3</v>
      </c>
      <c r="Q557" s="3">
        <f t="shared" si="57"/>
        <v>1.4900000095000001</v>
      </c>
      <c r="R557" s="4">
        <f t="shared" si="62"/>
        <v>0</v>
      </c>
      <c r="S557" s="3">
        <f t="shared" si="58"/>
        <v>0</v>
      </c>
      <c r="T557" s="4">
        <f t="shared" si="59"/>
        <v>0</v>
      </c>
      <c r="U557" s="3">
        <f t="shared" si="60"/>
        <v>0.1284593507629968</v>
      </c>
      <c r="V557" s="5">
        <f t="shared" si="61"/>
        <v>-1</v>
      </c>
    </row>
    <row r="558" spans="1:22" x14ac:dyDescent="0.3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t="s">
        <v>22</v>
      </c>
      <c r="G558" t="s">
        <v>23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  <c r="P558" s="2">
        <f t="shared" si="56"/>
        <v>7.437709185570845E-3</v>
      </c>
      <c r="Q558" s="3">
        <f t="shared" si="57"/>
        <v>1.6200000050000001</v>
      </c>
      <c r="R558" s="4">
        <f t="shared" si="62"/>
        <v>0</v>
      </c>
      <c r="S558" s="3">
        <f t="shared" si="58"/>
        <v>0</v>
      </c>
      <c r="T558" s="4">
        <f t="shared" si="59"/>
        <v>0</v>
      </c>
      <c r="U558" s="3">
        <f t="shared" si="60"/>
        <v>0.12049088917813314</v>
      </c>
      <c r="V558" s="5">
        <f t="shared" si="61"/>
        <v>-1</v>
      </c>
    </row>
    <row r="559" spans="1:22" x14ac:dyDescent="0.3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t="s">
        <v>22</v>
      </c>
      <c r="G559" t="s">
        <v>23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  <c r="P559" s="2">
        <f t="shared" si="56"/>
        <v>1.3983175082884144E-2</v>
      </c>
      <c r="Q559" s="3">
        <f t="shared" si="57"/>
        <v>1.6858064551612904</v>
      </c>
      <c r="R559" s="4">
        <f t="shared" si="62"/>
        <v>6.4516129032258063E-2</v>
      </c>
      <c r="S559" s="3">
        <f t="shared" si="58"/>
        <v>26.130000055</v>
      </c>
      <c r="T559" s="4">
        <f t="shared" si="59"/>
        <v>0.4</v>
      </c>
      <c r="U559" s="3">
        <f t="shared" si="60"/>
        <v>0.23572926818376597</v>
      </c>
      <c r="V559" s="5">
        <f t="shared" si="61"/>
        <v>0.91350937216827344</v>
      </c>
    </row>
    <row r="560" spans="1:22" x14ac:dyDescent="0.3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t="s">
        <v>22</v>
      </c>
      <c r="G560" t="s">
        <v>23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  <c r="P560" s="2">
        <f t="shared" si="56"/>
        <v>7.9147021245321841E-3</v>
      </c>
      <c r="Q560" s="3">
        <f t="shared" si="57"/>
        <v>1.8628571714285713</v>
      </c>
      <c r="R560" s="4">
        <f t="shared" si="62"/>
        <v>0.14285714285714285</v>
      </c>
      <c r="S560" s="3">
        <f t="shared" si="58"/>
        <v>13.0400002</v>
      </c>
      <c r="T560" s="4">
        <f t="shared" si="59"/>
        <v>1</v>
      </c>
      <c r="U560" s="3">
        <f t="shared" si="60"/>
        <v>0.14743959612405733</v>
      </c>
      <c r="V560" s="5">
        <f t="shared" si="61"/>
        <v>2.8343557694117214</v>
      </c>
    </row>
    <row r="561" spans="1:22" x14ac:dyDescent="0.3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t="s">
        <v>22</v>
      </c>
      <c r="G561" t="s">
        <v>23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  <c r="P561" s="2">
        <f t="shared" si="56"/>
        <v>1.2243420492291969E-2</v>
      </c>
      <c r="Q561" s="3">
        <f t="shared" si="57"/>
        <v>1.6691304239130436</v>
      </c>
      <c r="R561" s="4">
        <f t="shared" si="62"/>
        <v>4.3478260869565216E-2</v>
      </c>
      <c r="S561" s="3">
        <f t="shared" si="58"/>
        <v>38.389999750000001</v>
      </c>
      <c r="T561" s="4">
        <f t="shared" si="59"/>
        <v>0.2</v>
      </c>
      <c r="U561" s="3">
        <f t="shared" si="60"/>
        <v>0.20435865636444936</v>
      </c>
      <c r="V561" s="5">
        <f t="shared" si="61"/>
        <v>0.30242251434242323</v>
      </c>
    </row>
    <row r="562" spans="1:22" x14ac:dyDescent="0.3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t="s">
        <v>22</v>
      </c>
      <c r="G562" t="s">
        <v>23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  <c r="P562" s="2">
        <f t="shared" si="56"/>
        <v>1.4017897350442177E-2</v>
      </c>
      <c r="Q562" s="3">
        <f t="shared" si="57"/>
        <v>1.73462499625</v>
      </c>
      <c r="R562" s="4">
        <f t="shared" si="62"/>
        <v>2.5000000000000001E-2</v>
      </c>
      <c r="S562" s="3">
        <f t="shared" si="58"/>
        <v>69.38499985</v>
      </c>
      <c r="T562" s="4">
        <f t="shared" si="59"/>
        <v>0.22222222222222221</v>
      </c>
      <c r="U562" s="3">
        <f t="shared" si="60"/>
        <v>0.24315795138943647</v>
      </c>
      <c r="V562" s="5">
        <f t="shared" si="61"/>
        <v>-0.27938315042022732</v>
      </c>
    </row>
    <row r="563" spans="1:22" x14ac:dyDescent="0.3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t="s">
        <v>22</v>
      </c>
      <c r="G563" t="s">
        <v>23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  <c r="P563" s="2">
        <f t="shared" si="56"/>
        <v>1.3634124049842596E-2</v>
      </c>
      <c r="Q563" s="3">
        <f t="shared" si="57"/>
        <v>1.7957241468965517</v>
      </c>
      <c r="R563" s="4">
        <f t="shared" si="62"/>
        <v>4.8275862068965517E-2</v>
      </c>
      <c r="S563" s="3">
        <f t="shared" si="58"/>
        <v>37.197143042857142</v>
      </c>
      <c r="T563" s="4">
        <f t="shared" si="59"/>
        <v>0.30434782608695654</v>
      </c>
      <c r="U563" s="3">
        <f t="shared" si="60"/>
        <v>0.24483125778085357</v>
      </c>
      <c r="V563" s="5">
        <f t="shared" si="61"/>
        <v>0.34418925513693049</v>
      </c>
    </row>
    <row r="564" spans="1:22" x14ac:dyDescent="0.3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t="s">
        <v>22</v>
      </c>
      <c r="G564" t="s">
        <v>23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  <c r="P564" s="2">
        <f t="shared" si="56"/>
        <v>1.1875779348019715E-2</v>
      </c>
      <c r="Q564" s="3">
        <f t="shared" si="57"/>
        <v>1.424999992</v>
      </c>
      <c r="R564" s="4">
        <f t="shared" si="62"/>
        <v>0</v>
      </c>
      <c r="S564" s="3">
        <f t="shared" si="58"/>
        <v>0</v>
      </c>
      <c r="T564" s="4">
        <f t="shared" si="59"/>
        <v>0</v>
      </c>
      <c r="U564" s="3">
        <f t="shared" si="60"/>
        <v>0.16922985475921859</v>
      </c>
      <c r="V564" s="5">
        <f t="shared" si="61"/>
        <v>-1</v>
      </c>
    </row>
    <row r="565" spans="1:22" x14ac:dyDescent="0.3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t="s">
        <v>22</v>
      </c>
      <c r="G565" t="s">
        <v>23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  <c r="P565" s="2">
        <f t="shared" si="56"/>
        <v>1.0234832546767499E-2</v>
      </c>
      <c r="Q565" s="3">
        <f t="shared" si="57"/>
        <v>1.7366666922222223</v>
      </c>
      <c r="R565" s="4">
        <f t="shared" si="62"/>
        <v>0</v>
      </c>
      <c r="S565" s="3">
        <f t="shared" si="58"/>
        <v>0</v>
      </c>
      <c r="T565" s="4">
        <f t="shared" si="59"/>
        <v>0</v>
      </c>
      <c r="U565" s="3">
        <f t="shared" si="60"/>
        <v>0.17774492784443055</v>
      </c>
      <c r="V565" s="5">
        <f t="shared" si="61"/>
        <v>-1</v>
      </c>
    </row>
    <row r="566" spans="1:22" x14ac:dyDescent="0.3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t="s">
        <v>22</v>
      </c>
      <c r="G566" t="s">
        <v>23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  <c r="P566" s="2">
        <f t="shared" si="56"/>
        <v>1.1860903944649115E-2</v>
      </c>
      <c r="Q566" s="3">
        <f t="shared" si="57"/>
        <v>1.8242424112121214</v>
      </c>
      <c r="R566" s="4">
        <f t="shared" si="62"/>
        <v>0</v>
      </c>
      <c r="S566" s="3">
        <f t="shared" si="58"/>
        <v>0</v>
      </c>
      <c r="T566" s="4">
        <f t="shared" si="59"/>
        <v>0</v>
      </c>
      <c r="U566" s="3">
        <f t="shared" si="60"/>
        <v>0.21637164011142063</v>
      </c>
      <c r="V566" s="5">
        <f t="shared" si="61"/>
        <v>-1</v>
      </c>
    </row>
    <row r="567" spans="1:22" x14ac:dyDescent="0.3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t="s">
        <v>22</v>
      </c>
      <c r="G567" t="s">
        <v>23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  <c r="P567" s="2">
        <f t="shared" si="56"/>
        <v>9.5483168704436627E-3</v>
      </c>
      <c r="Q567" s="3">
        <f t="shared" si="57"/>
        <v>1.709500003</v>
      </c>
      <c r="R567" s="4">
        <f t="shared" si="62"/>
        <v>0</v>
      </c>
      <c r="S567" s="3">
        <f t="shared" si="58"/>
        <v>0</v>
      </c>
      <c r="T567" s="4">
        <f t="shared" si="59"/>
        <v>0</v>
      </c>
      <c r="U567" s="3">
        <f t="shared" si="60"/>
        <v>0.16322847718668393</v>
      </c>
      <c r="V567" s="5">
        <f t="shared" si="61"/>
        <v>-1</v>
      </c>
    </row>
    <row r="568" spans="1:22" x14ac:dyDescent="0.3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t="s">
        <v>22</v>
      </c>
      <c r="G568" t="s">
        <v>23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  <c r="P568" s="2">
        <f t="shared" si="56"/>
        <v>7.5999392004863957E-3</v>
      </c>
      <c r="Q568" s="3">
        <f t="shared" si="57"/>
        <v>1.6200000050000001</v>
      </c>
      <c r="R568" s="4">
        <f t="shared" si="62"/>
        <v>0</v>
      </c>
      <c r="S568" s="3">
        <f t="shared" si="58"/>
        <v>0</v>
      </c>
      <c r="T568" s="4">
        <f t="shared" si="59"/>
        <v>0</v>
      </c>
      <c r="U568" s="3">
        <f t="shared" si="60"/>
        <v>0.12311901542787657</v>
      </c>
      <c r="V568" s="5">
        <f t="shared" si="61"/>
        <v>-1</v>
      </c>
    </row>
    <row r="569" spans="1:22" x14ac:dyDescent="0.3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t="s">
        <v>22</v>
      </c>
      <c r="G569" t="s">
        <v>23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  <c r="P569" s="2">
        <f t="shared" si="56"/>
        <v>7.3117231294175002E-3</v>
      </c>
      <c r="Q569" s="3">
        <f t="shared" si="57"/>
        <v>1.7133333683333334</v>
      </c>
      <c r="R569" s="4">
        <f t="shared" si="62"/>
        <v>0.33333333333333331</v>
      </c>
      <c r="S569" s="3">
        <f t="shared" si="58"/>
        <v>5.1400001050000004</v>
      </c>
      <c r="T569" s="4">
        <f t="shared" si="59"/>
        <v>0.5</v>
      </c>
      <c r="U569" s="3">
        <f t="shared" si="60"/>
        <v>0.12527419217645627</v>
      </c>
      <c r="V569" s="5">
        <f t="shared" si="61"/>
        <v>8.7276262604278685</v>
      </c>
    </row>
    <row r="570" spans="1:22" x14ac:dyDescent="0.3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t="s">
        <v>22</v>
      </c>
      <c r="G570" t="s">
        <v>23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  <c r="P570" s="2">
        <f t="shared" si="56"/>
        <v>1.3688145267723011E-2</v>
      </c>
      <c r="Q570" s="3">
        <f t="shared" si="57"/>
        <v>1.8046666516666667</v>
      </c>
      <c r="R570" s="4">
        <f t="shared" si="62"/>
        <v>3.3333333333333333E-2</v>
      </c>
      <c r="S570" s="3">
        <f t="shared" si="58"/>
        <v>54.139999549999999</v>
      </c>
      <c r="T570" s="4">
        <f t="shared" si="59"/>
        <v>0.18181818181818182</v>
      </c>
      <c r="U570" s="3">
        <f t="shared" si="60"/>
        <v>0.24702539287828618</v>
      </c>
      <c r="V570" s="5">
        <f t="shared" si="61"/>
        <v>-7.6468407543605135E-2</v>
      </c>
    </row>
    <row r="571" spans="1:22" x14ac:dyDescent="0.3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t="s">
        <v>22</v>
      </c>
      <c r="G571" t="s">
        <v>23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  <c r="P571" s="2">
        <f t="shared" si="56"/>
        <v>1.3270170659402291E-2</v>
      </c>
      <c r="Q571" s="3">
        <f t="shared" si="57"/>
        <v>1.7560377435849057</v>
      </c>
      <c r="R571" s="4">
        <f t="shared" si="62"/>
        <v>0</v>
      </c>
      <c r="S571" s="3">
        <f t="shared" si="58"/>
        <v>0</v>
      </c>
      <c r="T571" s="4">
        <f t="shared" si="59"/>
        <v>0</v>
      </c>
      <c r="U571" s="3">
        <f t="shared" si="60"/>
        <v>0.23302920541723421</v>
      </c>
      <c r="V571" s="5">
        <f t="shared" si="61"/>
        <v>-1</v>
      </c>
    </row>
    <row r="572" spans="1:22" x14ac:dyDescent="0.3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t="s">
        <v>22</v>
      </c>
      <c r="G572" t="s">
        <v>23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  <c r="P572" s="2">
        <f t="shared" si="56"/>
        <v>1.056866461399714E-2</v>
      </c>
      <c r="Q572" s="3">
        <f t="shared" si="57"/>
        <v>1.8686666410000001</v>
      </c>
      <c r="R572" s="4">
        <f t="shared" si="62"/>
        <v>0</v>
      </c>
      <c r="S572" s="3">
        <f t="shared" si="58"/>
        <v>0</v>
      </c>
      <c r="T572" s="4">
        <f t="shared" si="59"/>
        <v>0</v>
      </c>
      <c r="U572" s="3">
        <f t="shared" si="60"/>
        <v>0.19749311004093598</v>
      </c>
      <c r="V572" s="5">
        <f t="shared" si="61"/>
        <v>-1</v>
      </c>
    </row>
    <row r="573" spans="1:22" x14ac:dyDescent="0.3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t="s">
        <v>22</v>
      </c>
      <c r="G573" t="s">
        <v>23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  <c r="P573" s="2">
        <f t="shared" si="56"/>
        <v>1.1891108136203055E-2</v>
      </c>
      <c r="Q573" s="3">
        <f t="shared" si="57"/>
        <v>1.7451612487096775</v>
      </c>
      <c r="R573" s="4">
        <f t="shared" si="62"/>
        <v>6.4516129032258063E-2</v>
      </c>
      <c r="S573" s="3">
        <f t="shared" si="58"/>
        <v>27.049999355000001</v>
      </c>
      <c r="T573" s="4">
        <f t="shared" si="59"/>
        <v>0.4</v>
      </c>
      <c r="U573" s="3">
        <f t="shared" si="60"/>
        <v>0.20751901123517927</v>
      </c>
      <c r="V573" s="5">
        <f t="shared" si="61"/>
        <v>0.8484288795651248</v>
      </c>
    </row>
    <row r="574" spans="1:22" x14ac:dyDescent="0.3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t="s">
        <v>22</v>
      </c>
      <c r="G574" t="s">
        <v>23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  <c r="P574" s="2">
        <f t="shared" si="56"/>
        <v>8.6533635624167111E-3</v>
      </c>
      <c r="Q574" s="3">
        <f t="shared" si="57"/>
        <v>1.5600000143999999</v>
      </c>
      <c r="R574" s="4">
        <f t="shared" si="62"/>
        <v>0.2</v>
      </c>
      <c r="S574" s="3">
        <f t="shared" si="58"/>
        <v>7.8000000719999996</v>
      </c>
      <c r="T574" s="4">
        <f t="shared" si="59"/>
        <v>0.5</v>
      </c>
      <c r="U574" s="3">
        <f t="shared" si="60"/>
        <v>0.13499247281978505</v>
      </c>
      <c r="V574" s="5">
        <f t="shared" si="61"/>
        <v>5.4102563510848132</v>
      </c>
    </row>
    <row r="575" spans="1:22" x14ac:dyDescent="0.3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t="s">
        <v>22</v>
      </c>
      <c r="G575" t="s">
        <v>23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  <c r="P575" s="2">
        <f t="shared" si="56"/>
        <v>7.7405371932812144E-3</v>
      </c>
      <c r="Q575" s="3">
        <f t="shared" si="57"/>
        <v>1.7400000096666668</v>
      </c>
      <c r="R575" s="4">
        <f t="shared" si="62"/>
        <v>0</v>
      </c>
      <c r="S575" s="3">
        <f t="shared" si="58"/>
        <v>0</v>
      </c>
      <c r="T575" s="4">
        <f t="shared" si="59"/>
        <v>0</v>
      </c>
      <c r="U575" s="3">
        <f t="shared" si="60"/>
        <v>0.13468534791134507</v>
      </c>
      <c r="V575" s="5">
        <f t="shared" si="61"/>
        <v>-1</v>
      </c>
    </row>
    <row r="576" spans="1:22" x14ac:dyDescent="0.3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t="s">
        <v>22</v>
      </c>
      <c r="G576" t="s">
        <v>23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  <c r="P576" s="2">
        <f t="shared" si="56"/>
        <v>1.4795789376910524E-2</v>
      </c>
      <c r="Q576" s="3">
        <f t="shared" si="57"/>
        <v>1.7405339946601941</v>
      </c>
      <c r="R576" s="4">
        <f t="shared" si="62"/>
        <v>3.3980582524271843E-2</v>
      </c>
      <c r="S576" s="3">
        <f t="shared" si="58"/>
        <v>51.221428985714283</v>
      </c>
      <c r="T576" s="4">
        <f t="shared" si="59"/>
        <v>0.22580645161290322</v>
      </c>
      <c r="U576" s="3">
        <f t="shared" si="60"/>
        <v>0.2575257438834494</v>
      </c>
      <c r="V576" s="5">
        <f t="shared" si="61"/>
        <v>-2.3846054471751286E-2</v>
      </c>
    </row>
    <row r="577" spans="1:22" x14ac:dyDescent="0.3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t="s">
        <v>22</v>
      </c>
      <c r="G577" t="s">
        <v>23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  <c r="P577" s="2">
        <f t="shared" si="56"/>
        <v>1.4332239335777326E-2</v>
      </c>
      <c r="Q577" s="3">
        <f t="shared" si="57"/>
        <v>1.7672327012578617</v>
      </c>
      <c r="R577" s="4">
        <f t="shared" si="62"/>
        <v>1.2578616352201259E-2</v>
      </c>
      <c r="S577" s="3">
        <f t="shared" si="58"/>
        <v>140.49499975000001</v>
      </c>
      <c r="T577" s="4">
        <f t="shared" si="59"/>
        <v>0.15384615384615385</v>
      </c>
      <c r="U577" s="3">
        <f t="shared" si="60"/>
        <v>0.25328402036439945</v>
      </c>
      <c r="V577" s="5">
        <f t="shared" si="61"/>
        <v>-0.64411544831509204</v>
      </c>
    </row>
    <row r="578" spans="1:22" x14ac:dyDescent="0.3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t="s">
        <v>22</v>
      </c>
      <c r="G578" t="s">
        <v>23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  <c r="P578" s="2">
        <f t="shared" ref="P578:P641" si="63">IF(K578&gt;0, (L578/K578)*100, 0)</f>
        <v>1.1182199314961266E-2</v>
      </c>
      <c r="Q578" s="3">
        <f t="shared" ref="Q578:Q641" si="64">IF(L578&gt;0, M578/L578, 0)</f>
        <v>1.7710769353846154</v>
      </c>
      <c r="R578" s="4">
        <f t="shared" si="62"/>
        <v>7.6923076923076927E-2</v>
      </c>
      <c r="S578" s="3">
        <f t="shared" ref="S578:S641" si="65">IF(O578&gt;0, M578/O578, 0)</f>
        <v>23.02400016</v>
      </c>
      <c r="T578" s="4">
        <f t="shared" ref="T578:T641" si="66">IF(N578&gt;0, O578/N578, 0)</f>
        <v>0.5</v>
      </c>
      <c r="U578" s="3">
        <f t="shared" ref="U578:U641" si="67">IF(K578&gt;0, (M578/K578)*1000, 0)</f>
        <v>0.19804535293601544</v>
      </c>
      <c r="V578" s="5">
        <f t="shared" ref="V578:V641" si="68">IF(M578&gt;0, ((O578*50)-M578)/M578, 0)</f>
        <v>1.1716469619760461</v>
      </c>
    </row>
    <row r="579" spans="1:22" x14ac:dyDescent="0.3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t="s">
        <v>22</v>
      </c>
      <c r="G579" t="s">
        <v>23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  <c r="P579" s="2">
        <f t="shared" si="63"/>
        <v>1.2203714314861551E-2</v>
      </c>
      <c r="Q579" s="3">
        <f t="shared" si="64"/>
        <v>1.716953140625</v>
      </c>
      <c r="R579" s="4">
        <f t="shared" ref="R579:R642" si="69">IF(L579&gt;0, O579/L579, 0)</f>
        <v>6.25E-2</v>
      </c>
      <c r="S579" s="3">
        <f t="shared" si="65"/>
        <v>27.471250250000001</v>
      </c>
      <c r="T579" s="4">
        <f t="shared" si="66"/>
        <v>0.36363636363636365</v>
      </c>
      <c r="U579" s="3">
        <f t="shared" si="67"/>
        <v>0.20953205620191809</v>
      </c>
      <c r="V579" s="5">
        <f t="shared" si="68"/>
        <v>0.82008461737193772</v>
      </c>
    </row>
    <row r="580" spans="1:22" x14ac:dyDescent="0.3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t="s">
        <v>22</v>
      </c>
      <c r="G580" t="s">
        <v>23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  <c r="P580" s="2">
        <f t="shared" si="63"/>
        <v>1.0085660879738579E-2</v>
      </c>
      <c r="Q580" s="3">
        <f t="shared" si="64"/>
        <v>1.7339999953333334</v>
      </c>
      <c r="R580" s="4">
        <f t="shared" si="69"/>
        <v>3.3333333333333333E-2</v>
      </c>
      <c r="S580" s="3">
        <f t="shared" si="65"/>
        <v>52.019999859999999</v>
      </c>
      <c r="T580" s="4">
        <f t="shared" si="66"/>
        <v>0.25</v>
      </c>
      <c r="U580" s="3">
        <f t="shared" si="67"/>
        <v>0.1748853591840028</v>
      </c>
      <c r="V580" s="5">
        <f t="shared" si="68"/>
        <v>-3.8831216175247388E-2</v>
      </c>
    </row>
    <row r="581" spans="1:22" x14ac:dyDescent="0.3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t="s">
        <v>22</v>
      </c>
      <c r="G581" t="s">
        <v>23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  <c r="P581" s="2">
        <f t="shared" si="63"/>
        <v>9.6522979050126141E-3</v>
      </c>
      <c r="Q581" s="3">
        <f t="shared" si="64"/>
        <v>1.6049999972727271</v>
      </c>
      <c r="R581" s="4">
        <f t="shared" si="69"/>
        <v>0.54545454545454541</v>
      </c>
      <c r="S581" s="3">
        <f t="shared" si="65"/>
        <v>2.9424999949999999</v>
      </c>
      <c r="T581" s="4">
        <f t="shared" si="66"/>
        <v>0.54545454545454541</v>
      </c>
      <c r="U581" s="3">
        <f t="shared" si="67"/>
        <v>0.15491938111220796</v>
      </c>
      <c r="V581" s="5">
        <f t="shared" si="68"/>
        <v>15.992353469825581</v>
      </c>
    </row>
    <row r="582" spans="1:22" x14ac:dyDescent="0.3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t="s">
        <v>22</v>
      </c>
      <c r="G582" t="s">
        <v>23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  <c r="P582" s="2">
        <f t="shared" si="63"/>
        <v>1.0155675820137636E-2</v>
      </c>
      <c r="Q582" s="3">
        <f t="shared" si="64"/>
        <v>1.6663158160526315</v>
      </c>
      <c r="R582" s="4">
        <f t="shared" si="69"/>
        <v>7.8947368421052627E-2</v>
      </c>
      <c r="S582" s="3">
        <f t="shared" si="65"/>
        <v>21.106667003333332</v>
      </c>
      <c r="T582" s="4">
        <f t="shared" si="66"/>
        <v>0.375</v>
      </c>
      <c r="U582" s="3">
        <f t="shared" si="67"/>
        <v>0.16922563241798624</v>
      </c>
      <c r="V582" s="5">
        <f t="shared" si="68"/>
        <v>1.3689197347977111</v>
      </c>
    </row>
    <row r="583" spans="1:22" x14ac:dyDescent="0.3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t="s">
        <v>22</v>
      </c>
      <c r="G583" t="s">
        <v>23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  <c r="P583" s="2">
        <f t="shared" si="63"/>
        <v>1.4312166235810829E-2</v>
      </c>
      <c r="Q583" s="3">
        <f t="shared" si="64"/>
        <v>1.6950000115624999</v>
      </c>
      <c r="R583" s="4">
        <f t="shared" si="69"/>
        <v>0</v>
      </c>
      <c r="S583" s="3">
        <f t="shared" si="65"/>
        <v>0</v>
      </c>
      <c r="T583" s="4">
        <f t="shared" si="66"/>
        <v>0</v>
      </c>
      <c r="U583" s="3">
        <f t="shared" si="67"/>
        <v>0.24259121935183775</v>
      </c>
      <c r="V583" s="5">
        <f t="shared" si="68"/>
        <v>-1</v>
      </c>
    </row>
    <row r="584" spans="1:22" x14ac:dyDescent="0.3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t="s">
        <v>22</v>
      </c>
      <c r="G584" t="s">
        <v>23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  <c r="P584" s="2">
        <f t="shared" si="63"/>
        <v>1.3772645407352473E-2</v>
      </c>
      <c r="Q584" s="3">
        <f t="shared" si="64"/>
        <v>1.6725641015384616</v>
      </c>
      <c r="R584" s="4">
        <f t="shared" si="69"/>
        <v>2.564102564102564E-2</v>
      </c>
      <c r="S584" s="3">
        <f t="shared" si="65"/>
        <v>65.229999960000001</v>
      </c>
      <c r="T584" s="4">
        <f t="shared" si="66"/>
        <v>0.5</v>
      </c>
      <c r="U584" s="3">
        <f t="shared" si="67"/>
        <v>0.23035632291556307</v>
      </c>
      <c r="V584" s="5">
        <f t="shared" si="68"/>
        <v>-0.23348152643475795</v>
      </c>
    </row>
    <row r="585" spans="1:22" x14ac:dyDescent="0.3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t="s">
        <v>22</v>
      </c>
      <c r="G585" t="s">
        <v>23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  <c r="P585" s="2">
        <f t="shared" si="63"/>
        <v>7.2053031030838701E-3</v>
      </c>
      <c r="Q585" s="3">
        <f t="shared" si="64"/>
        <v>1.4033333460000001</v>
      </c>
      <c r="R585" s="4">
        <f t="shared" si="69"/>
        <v>0</v>
      </c>
      <c r="S585" s="3">
        <f t="shared" si="65"/>
        <v>0</v>
      </c>
      <c r="T585" s="4">
        <f t="shared" si="66"/>
        <v>0</v>
      </c>
      <c r="U585" s="3">
        <f t="shared" si="67"/>
        <v>0.10111442112594871</v>
      </c>
      <c r="V585" s="5">
        <f t="shared" si="68"/>
        <v>-1</v>
      </c>
    </row>
    <row r="586" spans="1:22" x14ac:dyDescent="0.3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t="s">
        <v>22</v>
      </c>
      <c r="G586" t="s">
        <v>23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  <c r="P586" s="2">
        <f t="shared" si="63"/>
        <v>1.510132992378862E-2</v>
      </c>
      <c r="Q586" s="3">
        <f t="shared" si="64"/>
        <v>1.6203333260000001</v>
      </c>
      <c r="R586" s="4">
        <f t="shared" si="69"/>
        <v>3.3333333333333333E-2</v>
      </c>
      <c r="S586" s="3">
        <f t="shared" si="65"/>
        <v>48.609999780000003</v>
      </c>
      <c r="T586" s="4">
        <f t="shared" si="66"/>
        <v>0.125</v>
      </c>
      <c r="U586" s="3">
        <f t="shared" si="67"/>
        <v>0.24469188142435744</v>
      </c>
      <c r="V586" s="5">
        <f t="shared" si="68"/>
        <v>2.8594943968131763E-2</v>
      </c>
    </row>
    <row r="587" spans="1:22" x14ac:dyDescent="0.3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t="s">
        <v>22</v>
      </c>
      <c r="G587" t="s">
        <v>23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  <c r="P587" s="2">
        <f t="shared" si="63"/>
        <v>9.9407531114557232E-3</v>
      </c>
      <c r="Q587" s="3">
        <f t="shared" si="64"/>
        <v>1.391999972</v>
      </c>
      <c r="R587" s="4">
        <f t="shared" si="69"/>
        <v>0.2</v>
      </c>
      <c r="S587" s="3">
        <f t="shared" si="65"/>
        <v>6.9599998599999999</v>
      </c>
      <c r="T587" s="4">
        <f t="shared" si="66"/>
        <v>0.5</v>
      </c>
      <c r="U587" s="3">
        <f t="shared" si="67"/>
        <v>0.13837528052805281</v>
      </c>
      <c r="V587" s="5">
        <f t="shared" si="68"/>
        <v>6.1839081904809126</v>
      </c>
    </row>
    <row r="588" spans="1:22" x14ac:dyDescent="0.3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t="s">
        <v>22</v>
      </c>
      <c r="G588" t="s">
        <v>23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  <c r="P588" s="2">
        <f t="shared" si="63"/>
        <v>7.8100593564511085E-3</v>
      </c>
      <c r="Q588" s="3">
        <f t="shared" si="64"/>
        <v>2.2119999400000001</v>
      </c>
      <c r="R588" s="4">
        <f t="shared" si="69"/>
        <v>0</v>
      </c>
      <c r="S588" s="3">
        <f t="shared" si="65"/>
        <v>0</v>
      </c>
      <c r="T588" s="4">
        <f t="shared" si="66"/>
        <v>0</v>
      </c>
      <c r="U588" s="3">
        <f t="shared" si="67"/>
        <v>0.17275850827866293</v>
      </c>
      <c r="V588" s="5">
        <f t="shared" si="68"/>
        <v>-1</v>
      </c>
    </row>
    <row r="589" spans="1:22" x14ac:dyDescent="0.3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t="s">
        <v>22</v>
      </c>
      <c r="G589" t="s">
        <v>23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  <c r="P589" s="2">
        <f t="shared" si="63"/>
        <v>0</v>
      </c>
      <c r="Q589" s="3">
        <f t="shared" si="64"/>
        <v>0</v>
      </c>
      <c r="R589" s="4">
        <f t="shared" si="69"/>
        <v>0</v>
      </c>
      <c r="S589" s="3">
        <f t="shared" si="65"/>
        <v>0</v>
      </c>
      <c r="T589" s="4">
        <f t="shared" si="66"/>
        <v>0</v>
      </c>
      <c r="U589" s="3">
        <f t="shared" si="67"/>
        <v>0</v>
      </c>
      <c r="V589" s="5">
        <f t="shared" si="68"/>
        <v>0</v>
      </c>
    </row>
    <row r="590" spans="1:22" x14ac:dyDescent="0.3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t="s">
        <v>22</v>
      </c>
      <c r="G590" t="s">
        <v>23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  <c r="P590" s="2">
        <f t="shared" si="63"/>
        <v>1.0620797992422184E-2</v>
      </c>
      <c r="Q590" s="3">
        <f t="shared" si="64"/>
        <v>2.0330232741860468</v>
      </c>
      <c r="R590" s="4">
        <f t="shared" si="69"/>
        <v>0</v>
      </c>
      <c r="S590" s="3">
        <f t="shared" si="65"/>
        <v>0</v>
      </c>
      <c r="T590" s="4">
        <f t="shared" si="66"/>
        <v>0</v>
      </c>
      <c r="U590" s="3">
        <f t="shared" si="67"/>
        <v>0.2159232950902274</v>
      </c>
      <c r="V590" s="5">
        <f t="shared" si="68"/>
        <v>-1</v>
      </c>
    </row>
    <row r="591" spans="1:22" x14ac:dyDescent="0.3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t="s">
        <v>22</v>
      </c>
      <c r="G591" t="s">
        <v>23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  <c r="P591" s="2">
        <f t="shared" si="63"/>
        <v>4.4931703810208489E-3</v>
      </c>
      <c r="Q591" s="3">
        <f t="shared" si="64"/>
        <v>1.6599999670000001</v>
      </c>
      <c r="R591" s="4">
        <f t="shared" si="69"/>
        <v>1</v>
      </c>
      <c r="S591" s="3">
        <f t="shared" si="65"/>
        <v>1.6599999670000001</v>
      </c>
      <c r="T591" s="4">
        <f t="shared" si="66"/>
        <v>1</v>
      </c>
      <c r="U591" s="3">
        <f t="shared" si="67"/>
        <v>7.4586626842199855E-2</v>
      </c>
      <c r="V591" s="5">
        <f t="shared" si="68"/>
        <v>29.120482526491521</v>
      </c>
    </row>
    <row r="592" spans="1:22" x14ac:dyDescent="0.3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t="s">
        <v>22</v>
      </c>
      <c r="G592" t="s">
        <v>23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  <c r="P592" s="2">
        <f t="shared" si="63"/>
        <v>6.933610677760443E-3</v>
      </c>
      <c r="Q592" s="3">
        <f t="shared" si="64"/>
        <v>1.6850000025</v>
      </c>
      <c r="R592" s="4">
        <f t="shared" si="69"/>
        <v>0</v>
      </c>
      <c r="S592" s="3">
        <f t="shared" si="65"/>
        <v>0</v>
      </c>
      <c r="T592" s="4">
        <f t="shared" si="66"/>
        <v>0</v>
      </c>
      <c r="U592" s="3">
        <f t="shared" si="67"/>
        <v>0.11683134009360374</v>
      </c>
      <c r="V592" s="5">
        <f t="shared" si="68"/>
        <v>-1</v>
      </c>
    </row>
    <row r="593" spans="1:22" x14ac:dyDescent="0.3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t="s">
        <v>22</v>
      </c>
      <c r="G593" t="s">
        <v>23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  <c r="P593" s="2">
        <f t="shared" si="63"/>
        <v>2.0038473869830074E-2</v>
      </c>
      <c r="Q593" s="3">
        <f t="shared" si="64"/>
        <v>1.6440000533999999</v>
      </c>
      <c r="R593" s="4">
        <f t="shared" si="69"/>
        <v>0.4</v>
      </c>
      <c r="S593" s="3">
        <f t="shared" si="65"/>
        <v>4.1100001334999998</v>
      </c>
      <c r="T593" s="4">
        <f t="shared" si="66"/>
        <v>0.66666666666666663</v>
      </c>
      <c r="U593" s="3">
        <f t="shared" si="67"/>
        <v>0.32943252112055144</v>
      </c>
      <c r="V593" s="5">
        <f t="shared" si="68"/>
        <v>11.165449726499382</v>
      </c>
    </row>
    <row r="594" spans="1:22" x14ac:dyDescent="0.3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t="s">
        <v>22</v>
      </c>
      <c r="G594" t="s">
        <v>23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  <c r="P594" s="2">
        <f t="shared" si="63"/>
        <v>7.7120822622107968E-3</v>
      </c>
      <c r="Q594" s="3">
        <f t="shared" si="64"/>
        <v>1.8600000143333333</v>
      </c>
      <c r="R594" s="4">
        <f t="shared" si="69"/>
        <v>0</v>
      </c>
      <c r="S594" s="3">
        <f t="shared" si="65"/>
        <v>0</v>
      </c>
      <c r="T594" s="4">
        <f t="shared" si="66"/>
        <v>0</v>
      </c>
      <c r="U594" s="3">
        <f t="shared" si="67"/>
        <v>0.1434447311825193</v>
      </c>
      <c r="V594" s="5">
        <f t="shared" si="68"/>
        <v>-1</v>
      </c>
    </row>
    <row r="595" spans="1:22" x14ac:dyDescent="0.3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t="s">
        <v>22</v>
      </c>
      <c r="G595" t="s">
        <v>23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  <c r="P595" s="2">
        <f t="shared" si="63"/>
        <v>1.1210762331838564E-2</v>
      </c>
      <c r="Q595" s="3">
        <f t="shared" si="64"/>
        <v>1.5383333166666666</v>
      </c>
      <c r="R595" s="4">
        <f t="shared" si="69"/>
        <v>0.16666666666666666</v>
      </c>
      <c r="S595" s="3">
        <f t="shared" si="65"/>
        <v>9.2299998999999993</v>
      </c>
      <c r="T595" s="4">
        <f t="shared" si="66"/>
        <v>1</v>
      </c>
      <c r="U595" s="3">
        <f t="shared" si="67"/>
        <v>0.17245889200298953</v>
      </c>
      <c r="V595" s="5">
        <f t="shared" si="68"/>
        <v>4.41711815186477</v>
      </c>
    </row>
    <row r="596" spans="1:22" x14ac:dyDescent="0.3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t="s">
        <v>22</v>
      </c>
      <c r="G596" t="s">
        <v>23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  <c r="P596" s="2">
        <f t="shared" si="63"/>
        <v>1.1008184585239125E-2</v>
      </c>
      <c r="Q596" s="3">
        <f t="shared" si="64"/>
        <v>1.7114999860000002</v>
      </c>
      <c r="R596" s="4">
        <f t="shared" si="69"/>
        <v>0.05</v>
      </c>
      <c r="S596" s="3">
        <f t="shared" si="65"/>
        <v>34.229999720000002</v>
      </c>
      <c r="T596" s="4">
        <f t="shared" si="66"/>
        <v>0.5</v>
      </c>
      <c r="U596" s="3">
        <f t="shared" si="67"/>
        <v>0.1884050776352218</v>
      </c>
      <c r="V596" s="5">
        <f t="shared" si="68"/>
        <v>0.46070699412789817</v>
      </c>
    </row>
    <row r="597" spans="1:22" x14ac:dyDescent="0.3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t="s">
        <v>22</v>
      </c>
      <c r="G597" t="s">
        <v>23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  <c r="P597" s="2">
        <f t="shared" si="63"/>
        <v>6.8528353606304602E-3</v>
      </c>
      <c r="Q597" s="3">
        <f t="shared" si="64"/>
        <v>1.5749999880000001</v>
      </c>
      <c r="R597" s="4">
        <f t="shared" si="69"/>
        <v>0</v>
      </c>
      <c r="S597" s="3">
        <f t="shared" si="65"/>
        <v>0</v>
      </c>
      <c r="T597" s="4">
        <f t="shared" si="66"/>
        <v>0</v>
      </c>
      <c r="U597" s="3">
        <f t="shared" si="67"/>
        <v>0.10793215610758952</v>
      </c>
      <c r="V597" s="5">
        <f t="shared" si="68"/>
        <v>-1</v>
      </c>
    </row>
    <row r="598" spans="1:22" x14ac:dyDescent="0.3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t="s">
        <v>22</v>
      </c>
      <c r="G598" t="s">
        <v>23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  <c r="P598" s="2">
        <f t="shared" si="63"/>
        <v>1.237541291041153E-2</v>
      </c>
      <c r="Q598" s="3">
        <f t="shared" si="64"/>
        <v>1.5546153384615384</v>
      </c>
      <c r="R598" s="4">
        <f t="shared" si="69"/>
        <v>7.6923076923076927E-2</v>
      </c>
      <c r="S598" s="3">
        <f t="shared" si="65"/>
        <v>20.209999400000001</v>
      </c>
      <c r="T598" s="4">
        <f t="shared" si="66"/>
        <v>0.33333333333333331</v>
      </c>
      <c r="U598" s="3">
        <f t="shared" si="67"/>
        <v>0.19239006730320712</v>
      </c>
      <c r="V598" s="5">
        <f t="shared" si="68"/>
        <v>1.4740228344588668</v>
      </c>
    </row>
    <row r="599" spans="1:22" x14ac:dyDescent="0.3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t="s">
        <v>22</v>
      </c>
      <c r="G599" t="s">
        <v>23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  <c r="P599" s="2">
        <f t="shared" si="63"/>
        <v>1.0764785954385087E-2</v>
      </c>
      <c r="Q599" s="3">
        <f t="shared" si="64"/>
        <v>1.917419349032258</v>
      </c>
      <c r="R599" s="4">
        <f t="shared" si="69"/>
        <v>6.4516129032258063E-2</v>
      </c>
      <c r="S599" s="3">
        <f t="shared" si="65"/>
        <v>29.719999909999999</v>
      </c>
      <c r="T599" s="4">
        <f t="shared" si="66"/>
        <v>0.66666666666666663</v>
      </c>
      <c r="U599" s="3">
        <f t="shared" si="67"/>
        <v>0.20640608877128647</v>
      </c>
      <c r="V599" s="5">
        <f t="shared" si="68"/>
        <v>0.68236878033018822</v>
      </c>
    </row>
    <row r="600" spans="1:22" x14ac:dyDescent="0.3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t="s">
        <v>22</v>
      </c>
      <c r="G600" t="s">
        <v>23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  <c r="P600" s="2">
        <f t="shared" si="63"/>
        <v>1.0368799340167314E-2</v>
      </c>
      <c r="Q600" s="3">
        <f t="shared" si="64"/>
        <v>1.7540908945454545</v>
      </c>
      <c r="R600" s="4">
        <f t="shared" si="69"/>
        <v>4.5454545454545456E-2</v>
      </c>
      <c r="S600" s="3">
        <f t="shared" si="65"/>
        <v>38.589999679999998</v>
      </c>
      <c r="T600" s="4">
        <f t="shared" si="66"/>
        <v>0.5</v>
      </c>
      <c r="U600" s="3">
        <f t="shared" si="67"/>
        <v>0.18187816509956403</v>
      </c>
      <c r="V600" s="5">
        <f t="shared" si="68"/>
        <v>0.29567246474773751</v>
      </c>
    </row>
    <row r="601" spans="1:22" x14ac:dyDescent="0.3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t="s">
        <v>22</v>
      </c>
      <c r="G601" t="s">
        <v>23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  <c r="P601" s="2">
        <f t="shared" si="63"/>
        <v>0</v>
      </c>
      <c r="Q601" s="3">
        <f t="shared" si="64"/>
        <v>0</v>
      </c>
      <c r="R601" s="4">
        <f t="shared" si="69"/>
        <v>0</v>
      </c>
      <c r="S601" s="3">
        <f t="shared" si="65"/>
        <v>0</v>
      </c>
      <c r="T601" s="4">
        <f t="shared" si="66"/>
        <v>1</v>
      </c>
      <c r="U601" s="3">
        <f t="shared" si="67"/>
        <v>0</v>
      </c>
      <c r="V601" s="5">
        <f t="shared" si="68"/>
        <v>0</v>
      </c>
    </row>
    <row r="602" spans="1:22" x14ac:dyDescent="0.3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t="s">
        <v>22</v>
      </c>
      <c r="G602" t="s">
        <v>23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  <c r="P602" s="2">
        <f t="shared" si="63"/>
        <v>8.8706100560461271E-3</v>
      </c>
      <c r="Q602" s="3">
        <f t="shared" si="64"/>
        <v>1.986363617272727</v>
      </c>
      <c r="R602" s="4">
        <f t="shared" si="69"/>
        <v>9.0909090909090912E-2</v>
      </c>
      <c r="S602" s="3">
        <f t="shared" si="65"/>
        <v>21.849999789999998</v>
      </c>
      <c r="T602" s="4">
        <f t="shared" si="66"/>
        <v>0.25</v>
      </c>
      <c r="U602" s="3">
        <f t="shared" si="67"/>
        <v>0.17620257078343615</v>
      </c>
      <c r="V602" s="5">
        <f t="shared" si="68"/>
        <v>1.2883295414438998</v>
      </c>
    </row>
    <row r="603" spans="1:22" x14ac:dyDescent="0.3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t="s">
        <v>22</v>
      </c>
      <c r="G603" t="s">
        <v>23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  <c r="P603" s="2">
        <f t="shared" si="63"/>
        <v>4.8964402879106885E-3</v>
      </c>
      <c r="Q603" s="3">
        <f t="shared" si="64"/>
        <v>1.960000038</v>
      </c>
      <c r="R603" s="4">
        <f t="shared" si="69"/>
        <v>0</v>
      </c>
      <c r="S603" s="3">
        <f t="shared" si="65"/>
        <v>0</v>
      </c>
      <c r="T603" s="4">
        <f t="shared" si="66"/>
        <v>0</v>
      </c>
      <c r="U603" s="3">
        <f t="shared" si="67"/>
        <v>9.5970231503696823E-2</v>
      </c>
      <c r="V603" s="5">
        <f t="shared" si="68"/>
        <v>-1</v>
      </c>
    </row>
    <row r="604" spans="1:22" x14ac:dyDescent="0.3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t="s">
        <v>22</v>
      </c>
      <c r="G604" t="s">
        <v>23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  <c r="P604" s="2">
        <f t="shared" si="63"/>
        <v>1.3592101047562644E-2</v>
      </c>
      <c r="Q604" s="3">
        <f t="shared" si="64"/>
        <v>1.594285717857143</v>
      </c>
      <c r="R604" s="4">
        <f t="shared" si="69"/>
        <v>0</v>
      </c>
      <c r="S604" s="3">
        <f t="shared" si="65"/>
        <v>0</v>
      </c>
      <c r="T604" s="4">
        <f t="shared" si="66"/>
        <v>0</v>
      </c>
      <c r="U604" s="3">
        <f t="shared" si="67"/>
        <v>0.21669692575800234</v>
      </c>
      <c r="V604" s="5">
        <f t="shared" si="68"/>
        <v>-1</v>
      </c>
    </row>
    <row r="605" spans="1:22" x14ac:dyDescent="0.3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t="s">
        <v>22</v>
      </c>
      <c r="G605" t="s">
        <v>23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  <c r="P605" s="2">
        <f t="shared" si="63"/>
        <v>1.4751240445219258E-2</v>
      </c>
      <c r="Q605" s="3">
        <f t="shared" si="64"/>
        <v>1.6703030166666668</v>
      </c>
      <c r="R605" s="4">
        <f t="shared" si="69"/>
        <v>3.0303030303030304E-2</v>
      </c>
      <c r="S605" s="3">
        <f t="shared" si="65"/>
        <v>55.119999550000003</v>
      </c>
      <c r="T605" s="4">
        <f t="shared" si="66"/>
        <v>0.2857142857142857</v>
      </c>
      <c r="U605" s="3">
        <f t="shared" si="67"/>
        <v>0.24639041415225071</v>
      </c>
      <c r="V605" s="5">
        <f t="shared" si="68"/>
        <v>-9.2888236425974408E-2</v>
      </c>
    </row>
    <row r="606" spans="1:22" x14ac:dyDescent="0.3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t="s">
        <v>22</v>
      </c>
      <c r="G606" t="s">
        <v>23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  <c r="P606" s="2">
        <f t="shared" si="63"/>
        <v>1.2171606844286711E-2</v>
      </c>
      <c r="Q606" s="3">
        <f t="shared" si="64"/>
        <v>1.5657894989473684</v>
      </c>
      <c r="R606" s="4">
        <f t="shared" si="69"/>
        <v>0.10526315789473684</v>
      </c>
      <c r="S606" s="3">
        <f t="shared" si="65"/>
        <v>14.87500024</v>
      </c>
      <c r="T606" s="4">
        <f t="shared" si="66"/>
        <v>1</v>
      </c>
      <c r="U606" s="3">
        <f t="shared" si="67"/>
        <v>0.19058174182100052</v>
      </c>
      <c r="V606" s="5">
        <f t="shared" si="68"/>
        <v>2.3613444835816688</v>
      </c>
    </row>
    <row r="607" spans="1:22" x14ac:dyDescent="0.3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t="s">
        <v>22</v>
      </c>
      <c r="G607" t="s">
        <v>23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  <c r="P607" s="2">
        <f t="shared" si="63"/>
        <v>1.2901144976616674E-2</v>
      </c>
      <c r="Q607" s="3">
        <f t="shared" si="64"/>
        <v>1.5391666791666667</v>
      </c>
      <c r="R607" s="4">
        <f t="shared" si="69"/>
        <v>0</v>
      </c>
      <c r="S607" s="3">
        <f t="shared" si="65"/>
        <v>0</v>
      </c>
      <c r="T607" s="4">
        <f t="shared" si="66"/>
        <v>0</v>
      </c>
      <c r="U607" s="3">
        <f t="shared" si="67"/>
        <v>0.19857012471106814</v>
      </c>
      <c r="V607" s="5">
        <f t="shared" si="68"/>
        <v>-1</v>
      </c>
    </row>
    <row r="608" spans="1:22" x14ac:dyDescent="0.3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t="s">
        <v>22</v>
      </c>
      <c r="G608" t="s">
        <v>23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  <c r="P608" s="2">
        <f t="shared" si="63"/>
        <v>1.5818649499993124E-2</v>
      </c>
      <c r="Q608" s="3">
        <f t="shared" si="64"/>
        <v>1.5756521847826088</v>
      </c>
      <c r="R608" s="4">
        <f t="shared" si="69"/>
        <v>0</v>
      </c>
      <c r="S608" s="3">
        <f t="shared" si="65"/>
        <v>0</v>
      </c>
      <c r="T608" s="4">
        <f t="shared" si="66"/>
        <v>0</v>
      </c>
      <c r="U608" s="3">
        <f t="shared" si="67"/>
        <v>0.24924689644974485</v>
      </c>
      <c r="V608" s="5">
        <f t="shared" si="68"/>
        <v>-1</v>
      </c>
    </row>
    <row r="609" spans="1:22" x14ac:dyDescent="0.3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t="s">
        <v>22</v>
      </c>
      <c r="G609" t="s">
        <v>23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  <c r="P609" s="2">
        <f t="shared" si="63"/>
        <v>1.6868355976289839E-2</v>
      </c>
      <c r="Q609" s="3">
        <f t="shared" si="64"/>
        <v>1.5287999916000001</v>
      </c>
      <c r="R609" s="4">
        <f t="shared" si="69"/>
        <v>0.02</v>
      </c>
      <c r="S609" s="3">
        <f t="shared" si="65"/>
        <v>76.439999580000006</v>
      </c>
      <c r="T609" s="4">
        <f t="shared" si="66"/>
        <v>0.33333333333333331</v>
      </c>
      <c r="U609" s="3">
        <f t="shared" si="67"/>
        <v>0.25788342474857717</v>
      </c>
      <c r="V609" s="5">
        <f t="shared" si="68"/>
        <v>-0.34589219944106131</v>
      </c>
    </row>
    <row r="610" spans="1:22" x14ac:dyDescent="0.3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t="s">
        <v>22</v>
      </c>
      <c r="G610" t="s">
        <v>23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  <c r="P610" s="2">
        <f t="shared" si="63"/>
        <v>0</v>
      </c>
      <c r="Q610" s="3">
        <f t="shared" si="64"/>
        <v>0</v>
      </c>
      <c r="R610" s="4">
        <f t="shared" si="69"/>
        <v>0</v>
      </c>
      <c r="S610" s="3">
        <f t="shared" si="65"/>
        <v>0</v>
      </c>
      <c r="T610" s="4">
        <f t="shared" si="66"/>
        <v>1</v>
      </c>
      <c r="U610" s="3">
        <f t="shared" si="67"/>
        <v>0</v>
      </c>
      <c r="V610" s="5">
        <f t="shared" si="68"/>
        <v>0</v>
      </c>
    </row>
    <row r="611" spans="1:22" x14ac:dyDescent="0.3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t="s">
        <v>22</v>
      </c>
      <c r="G611" t="s">
        <v>23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  <c r="P611" s="2">
        <f t="shared" si="63"/>
        <v>1.0974367014188288E-2</v>
      </c>
      <c r="Q611" s="3">
        <f t="shared" si="64"/>
        <v>1.685714312857143</v>
      </c>
      <c r="R611" s="4">
        <f t="shared" si="69"/>
        <v>0.2857142857142857</v>
      </c>
      <c r="S611" s="3">
        <f t="shared" si="65"/>
        <v>5.9000000950000002</v>
      </c>
      <c r="T611" s="4">
        <f t="shared" si="66"/>
        <v>0.33333333333333331</v>
      </c>
      <c r="U611" s="3">
        <f t="shared" si="67"/>
        <v>0.18499647550364506</v>
      </c>
      <c r="V611" s="5">
        <f t="shared" si="68"/>
        <v>7.4745761347314001</v>
      </c>
    </row>
    <row r="612" spans="1:22" x14ac:dyDescent="0.3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t="s">
        <v>22</v>
      </c>
      <c r="G612" t="s">
        <v>23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  <c r="P612" s="2">
        <f t="shared" si="63"/>
        <v>1.1812153018005096E-2</v>
      </c>
      <c r="Q612" s="3">
        <f t="shared" si="64"/>
        <v>1.9157142721428571</v>
      </c>
      <c r="R612" s="4">
        <f t="shared" si="69"/>
        <v>7.1428571428571425E-2</v>
      </c>
      <c r="S612" s="3">
        <f t="shared" si="65"/>
        <v>26.819999809999999</v>
      </c>
      <c r="T612" s="4">
        <f t="shared" si="66"/>
        <v>0.5</v>
      </c>
      <c r="U612" s="3">
        <f t="shared" si="67"/>
        <v>0.22628710121327683</v>
      </c>
      <c r="V612" s="5">
        <f t="shared" si="68"/>
        <v>0.86428040097737802</v>
      </c>
    </row>
    <row r="613" spans="1:22" x14ac:dyDescent="0.3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t="s">
        <v>22</v>
      </c>
      <c r="G613" t="s">
        <v>23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  <c r="P613" s="2">
        <f t="shared" si="63"/>
        <v>1.5825222906593703E-2</v>
      </c>
      <c r="Q613" s="3">
        <f t="shared" si="64"/>
        <v>1.7281579250000001</v>
      </c>
      <c r="R613" s="4">
        <f t="shared" si="69"/>
        <v>0.10526315789473684</v>
      </c>
      <c r="S613" s="3">
        <f t="shared" si="65"/>
        <v>16.417500287500001</v>
      </c>
      <c r="T613" s="4">
        <f t="shared" si="66"/>
        <v>0.8</v>
      </c>
      <c r="U613" s="3">
        <f t="shared" si="67"/>
        <v>0.27348484380921445</v>
      </c>
      <c r="V613" s="5">
        <f t="shared" si="68"/>
        <v>2.0455306303889103</v>
      </c>
    </row>
    <row r="614" spans="1:22" x14ac:dyDescent="0.3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t="s">
        <v>22</v>
      </c>
      <c r="G614" t="s">
        <v>23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  <c r="P614" s="2">
        <f t="shared" si="63"/>
        <v>1.1826761596139745E-2</v>
      </c>
      <c r="Q614" s="3">
        <f t="shared" si="64"/>
        <v>1.6120000125</v>
      </c>
      <c r="R614" s="4">
        <f t="shared" si="69"/>
        <v>0.05</v>
      </c>
      <c r="S614" s="3">
        <f t="shared" si="65"/>
        <v>32.240000250000001</v>
      </c>
      <c r="T614" s="4">
        <f t="shared" si="66"/>
        <v>0.5</v>
      </c>
      <c r="U614" s="3">
        <f t="shared" si="67"/>
        <v>0.1906473984081179</v>
      </c>
      <c r="V614" s="5">
        <f t="shared" si="68"/>
        <v>0.55086847432639208</v>
      </c>
    </row>
    <row r="615" spans="1:22" x14ac:dyDescent="0.3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t="s">
        <v>22</v>
      </c>
      <c r="G615" t="s">
        <v>23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  <c r="P615" s="2">
        <f t="shared" si="63"/>
        <v>1.3595776500753514E-2</v>
      </c>
      <c r="Q615" s="3">
        <f t="shared" si="64"/>
        <v>1.729577464084507</v>
      </c>
      <c r="R615" s="4">
        <f t="shared" si="69"/>
        <v>5.6338028169014086E-2</v>
      </c>
      <c r="S615" s="3">
        <f t="shared" si="65"/>
        <v>30.6999999875</v>
      </c>
      <c r="T615" s="4">
        <f t="shared" si="66"/>
        <v>0.36363636363636365</v>
      </c>
      <c r="U615" s="3">
        <f t="shared" si="67"/>
        <v>0.23514948642432995</v>
      </c>
      <c r="V615" s="5">
        <f t="shared" si="68"/>
        <v>0.62866449577714356</v>
      </c>
    </row>
    <row r="616" spans="1:22" x14ac:dyDescent="0.3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t="s">
        <v>22</v>
      </c>
      <c r="G616" t="s">
        <v>23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  <c r="P616" s="2">
        <f t="shared" si="63"/>
        <v>1.1715712901130035E-2</v>
      </c>
      <c r="Q616" s="3">
        <f t="shared" si="64"/>
        <v>1.6036363727272729</v>
      </c>
      <c r="R616" s="4">
        <f t="shared" si="69"/>
        <v>0.27272727272727271</v>
      </c>
      <c r="S616" s="3">
        <f t="shared" si="65"/>
        <v>5.8800000333333342</v>
      </c>
      <c r="T616" s="4">
        <f t="shared" si="66"/>
        <v>0.6</v>
      </c>
      <c r="U616" s="3">
        <f t="shared" si="67"/>
        <v>0.18787743340682284</v>
      </c>
      <c r="V616" s="5">
        <f t="shared" si="68"/>
        <v>7.503401312338994</v>
      </c>
    </row>
    <row r="617" spans="1:22" x14ac:dyDescent="0.3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t="s">
        <v>22</v>
      </c>
      <c r="G617" t="s">
        <v>23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  <c r="P617" s="2">
        <f t="shared" si="63"/>
        <v>1.3453662894259592E-2</v>
      </c>
      <c r="Q617" s="3">
        <f t="shared" si="64"/>
        <v>1.5419999744000001</v>
      </c>
      <c r="R617" s="4">
        <f t="shared" si="69"/>
        <v>0.04</v>
      </c>
      <c r="S617" s="3">
        <f t="shared" si="65"/>
        <v>38.549999360000001</v>
      </c>
      <c r="T617" s="4">
        <f t="shared" si="66"/>
        <v>0.25</v>
      </c>
      <c r="U617" s="3">
        <f t="shared" si="67"/>
        <v>0.2074554783853452</v>
      </c>
      <c r="V617" s="5">
        <f t="shared" si="68"/>
        <v>0.2970168827520312</v>
      </c>
    </row>
    <row r="618" spans="1:22" x14ac:dyDescent="0.3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t="s">
        <v>22</v>
      </c>
      <c r="G618" t="s">
        <v>23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  <c r="P618" s="2">
        <f t="shared" si="63"/>
        <v>1.3095638013790276E-2</v>
      </c>
      <c r="Q618" s="3">
        <f t="shared" si="64"/>
        <v>1.7721738917391305</v>
      </c>
      <c r="R618" s="4">
        <f t="shared" si="69"/>
        <v>0</v>
      </c>
      <c r="S618" s="3">
        <f t="shared" si="65"/>
        <v>0</v>
      </c>
      <c r="T618" s="4">
        <f t="shared" si="66"/>
        <v>0</v>
      </c>
      <c r="U618" s="3">
        <f t="shared" si="67"/>
        <v>0.2320774778370561</v>
      </c>
      <c r="V618" s="5">
        <f t="shared" si="68"/>
        <v>-1</v>
      </c>
    </row>
    <row r="619" spans="1:22" x14ac:dyDescent="0.3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t="s">
        <v>22</v>
      </c>
      <c r="G619" t="s">
        <v>23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  <c r="P619" s="2">
        <f t="shared" si="63"/>
        <v>1.0756447145507839E-2</v>
      </c>
      <c r="Q619" s="3">
        <f t="shared" si="64"/>
        <v>1.5925000012499999</v>
      </c>
      <c r="R619" s="4">
        <f t="shared" si="69"/>
        <v>0</v>
      </c>
      <c r="S619" s="3">
        <f t="shared" si="65"/>
        <v>0</v>
      </c>
      <c r="T619" s="4">
        <f t="shared" si="66"/>
        <v>0</v>
      </c>
      <c r="U619" s="3">
        <f t="shared" si="67"/>
        <v>0.17129642092666791</v>
      </c>
      <c r="V619" s="5">
        <f t="shared" si="68"/>
        <v>-1</v>
      </c>
    </row>
    <row r="620" spans="1:22" x14ac:dyDescent="0.3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t="s">
        <v>22</v>
      </c>
      <c r="G620" t="s">
        <v>23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  <c r="P620" s="2">
        <f t="shared" si="63"/>
        <v>0</v>
      </c>
      <c r="Q620" s="3">
        <f t="shared" si="64"/>
        <v>0</v>
      </c>
      <c r="R620" s="4">
        <f t="shared" si="69"/>
        <v>0</v>
      </c>
      <c r="S620" s="3">
        <f t="shared" si="65"/>
        <v>0</v>
      </c>
      <c r="T620" s="4">
        <f t="shared" si="66"/>
        <v>0</v>
      </c>
      <c r="U620" s="3">
        <f t="shared" si="67"/>
        <v>0</v>
      </c>
      <c r="V620" s="5">
        <f t="shared" si="68"/>
        <v>0</v>
      </c>
    </row>
    <row r="621" spans="1:22" x14ac:dyDescent="0.3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t="s">
        <v>22</v>
      </c>
      <c r="G621" t="s">
        <v>23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  <c r="P621" s="2">
        <f t="shared" si="63"/>
        <v>1.4798994829057102E-2</v>
      </c>
      <c r="Q621" s="3">
        <f t="shared" si="64"/>
        <v>1.7600000092156862</v>
      </c>
      <c r="R621" s="4">
        <f t="shared" si="69"/>
        <v>1.9607843137254902E-2</v>
      </c>
      <c r="S621" s="3">
        <f t="shared" si="65"/>
        <v>89.760000469999994</v>
      </c>
      <c r="T621" s="4">
        <f t="shared" si="66"/>
        <v>0.33333333333333331</v>
      </c>
      <c r="U621" s="3">
        <f t="shared" si="67"/>
        <v>0.26046231035523393</v>
      </c>
      <c r="V621" s="5">
        <f t="shared" si="68"/>
        <v>-0.44295900469930105</v>
      </c>
    </row>
    <row r="622" spans="1:22" x14ac:dyDescent="0.3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t="s">
        <v>24</v>
      </c>
      <c r="G622" t="s">
        <v>23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  <c r="P622" s="2">
        <f t="shared" si="63"/>
        <v>9.177492708991904E-3</v>
      </c>
      <c r="Q622" s="3">
        <f t="shared" si="64"/>
        <v>1.7944444555555554</v>
      </c>
      <c r="R622" s="4">
        <f t="shared" si="69"/>
        <v>0</v>
      </c>
      <c r="S622" s="3">
        <f t="shared" si="65"/>
        <v>0</v>
      </c>
      <c r="T622" s="4">
        <f t="shared" si="66"/>
        <v>0</v>
      </c>
      <c r="U622" s="3">
        <f t="shared" si="67"/>
        <v>0.16468500907552056</v>
      </c>
      <c r="V622" s="5">
        <f t="shared" si="68"/>
        <v>-1</v>
      </c>
    </row>
    <row r="623" spans="1:22" x14ac:dyDescent="0.3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t="s">
        <v>24</v>
      </c>
      <c r="G623" t="s">
        <v>23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  <c r="P623" s="2">
        <f t="shared" si="63"/>
        <v>1.2974392441637939E-2</v>
      </c>
      <c r="Q623" s="3">
        <f t="shared" si="64"/>
        <v>1.891299984</v>
      </c>
      <c r="R623" s="4">
        <f t="shared" si="69"/>
        <v>0.03</v>
      </c>
      <c r="S623" s="3">
        <f t="shared" si="65"/>
        <v>63.043332800000002</v>
      </c>
      <c r="T623" s="4">
        <f t="shared" si="66"/>
        <v>0.23076923076923078</v>
      </c>
      <c r="U623" s="3">
        <f t="shared" si="67"/>
        <v>0.24538468217279555</v>
      </c>
      <c r="V623" s="5">
        <f t="shared" si="68"/>
        <v>-0.20689472178412499</v>
      </c>
    </row>
    <row r="624" spans="1:22" x14ac:dyDescent="0.3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t="s">
        <v>24</v>
      </c>
      <c r="G624" t="s">
        <v>23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  <c r="P624" s="2">
        <f t="shared" si="63"/>
        <v>9.5142047076284889E-3</v>
      </c>
      <c r="Q624" s="3">
        <f t="shared" si="64"/>
        <v>1.7059999704</v>
      </c>
      <c r="R624" s="4">
        <f t="shared" si="69"/>
        <v>0</v>
      </c>
      <c r="S624" s="3">
        <f t="shared" si="65"/>
        <v>0</v>
      </c>
      <c r="T624" s="4">
        <f t="shared" si="66"/>
        <v>0</v>
      </c>
      <c r="U624" s="3">
        <f t="shared" si="67"/>
        <v>0.16231232949593744</v>
      </c>
      <c r="V624" s="5">
        <f t="shared" si="68"/>
        <v>-1</v>
      </c>
    </row>
    <row r="625" spans="1:22" x14ac:dyDescent="0.3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t="s">
        <v>24</v>
      </c>
      <c r="G625" t="s">
        <v>23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  <c r="P625" s="2">
        <f t="shared" si="63"/>
        <v>1.076467860533928E-2</v>
      </c>
      <c r="Q625" s="3">
        <f t="shared" si="64"/>
        <v>1.7376923407692306</v>
      </c>
      <c r="R625" s="4">
        <f t="shared" si="69"/>
        <v>7.6923076923076927E-2</v>
      </c>
      <c r="S625" s="3">
        <f t="shared" si="65"/>
        <v>22.59000043</v>
      </c>
      <c r="T625" s="4">
        <f t="shared" si="66"/>
        <v>0.42857142857142855</v>
      </c>
      <c r="U625" s="3">
        <f t="shared" si="67"/>
        <v>0.18705699563340472</v>
      </c>
      <c r="V625" s="5">
        <f t="shared" si="68"/>
        <v>1.2133687051018796</v>
      </c>
    </row>
    <row r="626" spans="1:22" x14ac:dyDescent="0.3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t="s">
        <v>24</v>
      </c>
      <c r="G626" t="s">
        <v>23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  <c r="P626" s="2">
        <f t="shared" si="63"/>
        <v>1.1689644611424523E-2</v>
      </c>
      <c r="Q626" s="3">
        <f t="shared" si="64"/>
        <v>1.9379999779999999</v>
      </c>
      <c r="R626" s="4">
        <f t="shared" si="69"/>
        <v>0.02</v>
      </c>
      <c r="S626" s="3">
        <f t="shared" si="65"/>
        <v>96.8999989</v>
      </c>
      <c r="T626" s="4">
        <f t="shared" si="66"/>
        <v>0.25</v>
      </c>
      <c r="U626" s="3">
        <f t="shared" si="67"/>
        <v>0.22654530999768546</v>
      </c>
      <c r="V626" s="5">
        <f t="shared" si="68"/>
        <v>-0.48400412210943794</v>
      </c>
    </row>
    <row r="627" spans="1:22" x14ac:dyDescent="0.3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t="s">
        <v>24</v>
      </c>
      <c r="G627" t="s">
        <v>23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  <c r="P627" s="2">
        <f t="shared" si="63"/>
        <v>1.1643960942828152E-2</v>
      </c>
      <c r="Q627" s="3">
        <f t="shared" si="64"/>
        <v>1.7680952433333332</v>
      </c>
      <c r="R627" s="4">
        <f t="shared" si="69"/>
        <v>4.7619047619047616E-2</v>
      </c>
      <c r="S627" s="3">
        <f t="shared" si="65"/>
        <v>37.130000109999997</v>
      </c>
      <c r="T627" s="4">
        <f t="shared" si="66"/>
        <v>1</v>
      </c>
      <c r="U627" s="3">
        <f t="shared" si="67"/>
        <v>0.20587631956573568</v>
      </c>
      <c r="V627" s="5">
        <f t="shared" si="68"/>
        <v>0.34661997985111248</v>
      </c>
    </row>
    <row r="628" spans="1:22" x14ac:dyDescent="0.3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t="s">
        <v>24</v>
      </c>
      <c r="G628" t="s">
        <v>23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  <c r="P628" s="2">
        <f t="shared" si="63"/>
        <v>1.5480785142716825E-2</v>
      </c>
      <c r="Q628" s="3">
        <f t="shared" si="64"/>
        <v>1.8331034348275863</v>
      </c>
      <c r="R628" s="4">
        <f t="shared" si="69"/>
        <v>3.4482758620689655E-2</v>
      </c>
      <c r="S628" s="3">
        <f t="shared" si="65"/>
        <v>53.15999961</v>
      </c>
      <c r="T628" s="4">
        <f t="shared" si="66"/>
        <v>0.5</v>
      </c>
      <c r="U628" s="3">
        <f t="shared" si="67"/>
        <v>0.28377880418942075</v>
      </c>
      <c r="V628" s="5">
        <f t="shared" si="68"/>
        <v>-5.944318346845074E-2</v>
      </c>
    </row>
    <row r="629" spans="1:22" x14ac:dyDescent="0.3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t="s">
        <v>24</v>
      </c>
      <c r="G629" t="s">
        <v>23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  <c r="P629" s="2">
        <f t="shared" si="63"/>
        <v>1.5072283093241231E-2</v>
      </c>
      <c r="Q629" s="3">
        <f t="shared" si="64"/>
        <v>1.6349999957627119</v>
      </c>
      <c r="R629" s="4">
        <f t="shared" si="69"/>
        <v>1.6949152542372881E-2</v>
      </c>
      <c r="S629" s="3">
        <f t="shared" si="65"/>
        <v>96.464999750000004</v>
      </c>
      <c r="T629" s="4">
        <f t="shared" si="66"/>
        <v>0.4</v>
      </c>
      <c r="U629" s="3">
        <f t="shared" si="67"/>
        <v>0.24643182793583807</v>
      </c>
      <c r="V629" s="5">
        <f t="shared" si="68"/>
        <v>-0.48167729093888273</v>
      </c>
    </row>
    <row r="630" spans="1:22" x14ac:dyDescent="0.3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t="s">
        <v>24</v>
      </c>
      <c r="G630" t="s">
        <v>23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  <c r="P630" s="2">
        <f t="shared" si="63"/>
        <v>1.0608909992515746E-2</v>
      </c>
      <c r="Q630" s="3">
        <f t="shared" si="64"/>
        <v>1.8446874906249999</v>
      </c>
      <c r="R630" s="4">
        <f t="shared" si="69"/>
        <v>4.6875E-2</v>
      </c>
      <c r="S630" s="3">
        <f t="shared" si="65"/>
        <v>39.353333133333329</v>
      </c>
      <c r="T630" s="4">
        <f t="shared" si="66"/>
        <v>0.35294117647058826</v>
      </c>
      <c r="U630" s="3">
        <f t="shared" si="67"/>
        <v>0.19570123552360358</v>
      </c>
      <c r="V630" s="5">
        <f t="shared" si="68"/>
        <v>0.270540409641913</v>
      </c>
    </row>
    <row r="631" spans="1:22" x14ac:dyDescent="0.3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t="s">
        <v>24</v>
      </c>
      <c r="G631" t="s">
        <v>23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  <c r="P631" s="2">
        <f t="shared" si="63"/>
        <v>8.284611925107108E-3</v>
      </c>
      <c r="Q631" s="3">
        <f t="shared" si="64"/>
        <v>1.7957143099999999</v>
      </c>
      <c r="R631" s="4">
        <f t="shared" si="69"/>
        <v>0</v>
      </c>
      <c r="S631" s="3">
        <f t="shared" si="65"/>
        <v>0</v>
      </c>
      <c r="T631" s="4">
        <f t="shared" si="66"/>
        <v>0</v>
      </c>
      <c r="U631" s="3">
        <f t="shared" si="67"/>
        <v>0.14876796186711483</v>
      </c>
      <c r="V631" s="5">
        <f t="shared" si="68"/>
        <v>-1</v>
      </c>
    </row>
    <row r="632" spans="1:22" x14ac:dyDescent="0.3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t="s">
        <v>24</v>
      </c>
      <c r="G632" t="s">
        <v>23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  <c r="P632" s="2">
        <f t="shared" si="63"/>
        <v>7.4265041323190849E-3</v>
      </c>
      <c r="Q632" s="3">
        <f t="shared" si="64"/>
        <v>1.7971429142857143</v>
      </c>
      <c r="R632" s="4">
        <f t="shared" si="69"/>
        <v>0.14285714285714285</v>
      </c>
      <c r="S632" s="3">
        <f t="shared" si="65"/>
        <v>12.580000399999999</v>
      </c>
      <c r="T632" s="4">
        <f t="shared" si="66"/>
        <v>1</v>
      </c>
      <c r="U632" s="3">
        <f t="shared" si="67"/>
        <v>0.13346489279310822</v>
      </c>
      <c r="V632" s="5">
        <f t="shared" si="68"/>
        <v>2.9745626717150184</v>
      </c>
    </row>
    <row r="633" spans="1:22" x14ac:dyDescent="0.3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t="s">
        <v>24</v>
      </c>
      <c r="G633" t="s">
        <v>23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  <c r="P633" s="2">
        <f t="shared" si="63"/>
        <v>1.220814893941706E-2</v>
      </c>
      <c r="Q633" s="3">
        <f t="shared" si="64"/>
        <v>1.7531249743749999</v>
      </c>
      <c r="R633" s="4">
        <f t="shared" si="69"/>
        <v>6.25E-2</v>
      </c>
      <c r="S633" s="3">
        <f t="shared" si="65"/>
        <v>28.049999589999999</v>
      </c>
      <c r="T633" s="4">
        <f t="shared" si="66"/>
        <v>0.5</v>
      </c>
      <c r="U633" s="3">
        <f t="shared" si="67"/>
        <v>0.21402410796581717</v>
      </c>
      <c r="V633" s="5">
        <f t="shared" si="68"/>
        <v>0.78253122035072376</v>
      </c>
    </row>
    <row r="634" spans="1:22" x14ac:dyDescent="0.3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t="s">
        <v>24</v>
      </c>
      <c r="G634" t="s">
        <v>23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  <c r="P634" s="2">
        <f t="shared" si="63"/>
        <v>1.463687379794674E-2</v>
      </c>
      <c r="Q634" s="3">
        <f t="shared" si="64"/>
        <v>1.6696000242</v>
      </c>
      <c r="R634" s="4">
        <f t="shared" si="69"/>
        <v>0.04</v>
      </c>
      <c r="S634" s="3">
        <f t="shared" si="65"/>
        <v>41.740000604999999</v>
      </c>
      <c r="T634" s="4">
        <f t="shared" si="66"/>
        <v>0.5</v>
      </c>
      <c r="U634" s="3">
        <f t="shared" si="67"/>
        <v>0.24437724847264219</v>
      </c>
      <c r="V634" s="5">
        <f t="shared" si="68"/>
        <v>0.19789169322653394</v>
      </c>
    </row>
    <row r="635" spans="1:22" x14ac:dyDescent="0.3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t="s">
        <v>24</v>
      </c>
      <c r="G635" t="s">
        <v>23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  <c r="P635" s="2">
        <f t="shared" si="63"/>
        <v>1.349920780964696E-2</v>
      </c>
      <c r="Q635" s="3">
        <f t="shared" si="64"/>
        <v>1.6042105210526316</v>
      </c>
      <c r="R635" s="4">
        <f t="shared" si="69"/>
        <v>5.2631578947368418E-2</v>
      </c>
      <c r="S635" s="3">
        <f t="shared" si="65"/>
        <v>30.479999899999999</v>
      </c>
      <c r="T635" s="4">
        <f t="shared" si="66"/>
        <v>1</v>
      </c>
      <c r="U635" s="3">
        <f t="shared" si="67"/>
        <v>0.21655571194111503</v>
      </c>
      <c r="V635" s="5">
        <f t="shared" si="68"/>
        <v>0.64041995288851694</v>
      </c>
    </row>
    <row r="636" spans="1:22" x14ac:dyDescent="0.3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t="s">
        <v>24</v>
      </c>
      <c r="G636" t="s">
        <v>23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  <c r="P636" s="2">
        <f t="shared" si="63"/>
        <v>1.2679834186783711E-2</v>
      </c>
      <c r="Q636" s="3">
        <f t="shared" si="64"/>
        <v>1.5615384484615384</v>
      </c>
      <c r="R636" s="4">
        <f t="shared" si="69"/>
        <v>7.6923076923076927E-2</v>
      </c>
      <c r="S636" s="3">
        <f t="shared" si="65"/>
        <v>20.299999830000001</v>
      </c>
      <c r="T636" s="4">
        <f t="shared" si="66"/>
        <v>0.5</v>
      </c>
      <c r="U636" s="3">
        <f t="shared" si="67"/>
        <v>0.1980004860277981</v>
      </c>
      <c r="V636" s="5">
        <f t="shared" si="68"/>
        <v>1.4630542078186806</v>
      </c>
    </row>
    <row r="637" spans="1:22" x14ac:dyDescent="0.3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t="s">
        <v>24</v>
      </c>
      <c r="G637" t="s">
        <v>23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  <c r="P637" s="2">
        <f t="shared" si="63"/>
        <v>1.5180197878344109E-2</v>
      </c>
      <c r="Q637" s="3">
        <f t="shared" si="64"/>
        <v>1.934999975</v>
      </c>
      <c r="R637" s="4">
        <f t="shared" si="69"/>
        <v>1.4705882352941176E-2</v>
      </c>
      <c r="S637" s="3">
        <f t="shared" si="65"/>
        <v>131.5799983</v>
      </c>
      <c r="T637" s="4">
        <f t="shared" si="66"/>
        <v>0.125</v>
      </c>
      <c r="U637" s="3">
        <f t="shared" si="67"/>
        <v>0.29373682515090904</v>
      </c>
      <c r="V637" s="5">
        <f t="shared" si="68"/>
        <v>-0.62000303506615873</v>
      </c>
    </row>
    <row r="638" spans="1:22" x14ac:dyDescent="0.3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t="s">
        <v>24</v>
      </c>
      <c r="G638" t="s">
        <v>23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  <c r="P638" s="2">
        <f t="shared" si="63"/>
        <v>1.1787047344640167E-2</v>
      </c>
      <c r="Q638" s="3">
        <f t="shared" si="64"/>
        <v>1.6255555422222221</v>
      </c>
      <c r="R638" s="4">
        <f t="shared" si="69"/>
        <v>0</v>
      </c>
      <c r="S638" s="3">
        <f t="shared" si="65"/>
        <v>0</v>
      </c>
      <c r="T638" s="4">
        <f t="shared" si="66"/>
        <v>0</v>
      </c>
      <c r="U638" s="3">
        <f t="shared" si="67"/>
        <v>0.19160500137515551</v>
      </c>
      <c r="V638" s="5">
        <f t="shared" si="68"/>
        <v>-1</v>
      </c>
    </row>
    <row r="639" spans="1:22" x14ac:dyDescent="0.3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t="s">
        <v>24</v>
      </c>
      <c r="G639" t="s">
        <v>23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  <c r="P639" s="2">
        <f t="shared" si="63"/>
        <v>1.4809156735438311E-2</v>
      </c>
      <c r="Q639" s="3">
        <f t="shared" si="64"/>
        <v>1.6965789292105264</v>
      </c>
      <c r="R639" s="4">
        <f t="shared" si="69"/>
        <v>2.6315789473684209E-2</v>
      </c>
      <c r="S639" s="3">
        <f t="shared" si="65"/>
        <v>64.469999310000006</v>
      </c>
      <c r="T639" s="4">
        <f t="shared" si="66"/>
        <v>0.16666666666666666</v>
      </c>
      <c r="U639" s="3">
        <f t="shared" si="67"/>
        <v>0.25124903276720789</v>
      </c>
      <c r="V639" s="5">
        <f t="shared" si="68"/>
        <v>-0.22444547021664929</v>
      </c>
    </row>
    <row r="640" spans="1:22" x14ac:dyDescent="0.3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t="s">
        <v>24</v>
      </c>
      <c r="G640" t="s">
        <v>23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  <c r="P640" s="2">
        <f t="shared" si="63"/>
        <v>1.64736891650193E-2</v>
      </c>
      <c r="Q640" s="3">
        <f t="shared" si="64"/>
        <v>1.4357143128571428</v>
      </c>
      <c r="R640" s="4">
        <f t="shared" si="69"/>
        <v>9.5238095238095233E-2</v>
      </c>
      <c r="S640" s="3">
        <f t="shared" si="65"/>
        <v>15.075000285</v>
      </c>
      <c r="T640" s="4">
        <f t="shared" si="66"/>
        <v>0.66666666666666663</v>
      </c>
      <c r="U640" s="3">
        <f t="shared" si="67"/>
        <v>0.2365151131977784</v>
      </c>
      <c r="V640" s="5">
        <f t="shared" si="68"/>
        <v>2.3167495227015844</v>
      </c>
    </row>
    <row r="641" spans="1:22" x14ac:dyDescent="0.3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t="s">
        <v>24</v>
      </c>
      <c r="G641" t="s">
        <v>23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  <c r="P641" s="2">
        <f t="shared" si="63"/>
        <v>1.5572193953780044E-2</v>
      </c>
      <c r="Q641" s="3">
        <f t="shared" si="64"/>
        <v>1.6824324389189189</v>
      </c>
      <c r="R641" s="4">
        <f t="shared" si="69"/>
        <v>5.4054054054054057E-2</v>
      </c>
      <c r="S641" s="3">
        <f t="shared" si="65"/>
        <v>31.125000119999999</v>
      </c>
      <c r="T641" s="4">
        <f t="shared" si="66"/>
        <v>0.4</v>
      </c>
      <c r="U641" s="3">
        <f t="shared" si="67"/>
        <v>0.26199164252976603</v>
      </c>
      <c r="V641" s="5">
        <f t="shared" si="68"/>
        <v>0.60642569661779655</v>
      </c>
    </row>
    <row r="642" spans="1:22" x14ac:dyDescent="0.3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t="s">
        <v>24</v>
      </c>
      <c r="G642" t="s">
        <v>23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  <c r="P642" s="2">
        <f t="shared" ref="P642:P705" si="70">IF(K642&gt;0, (L642/K642)*100, 0)</f>
        <v>1.5492952550988414E-2</v>
      </c>
      <c r="Q642" s="3">
        <f t="shared" ref="Q642:Q705" si="71">IF(L642&gt;0, M642/L642, 0)</f>
        <v>1.8580952342857142</v>
      </c>
      <c r="R642" s="4">
        <f t="shared" si="69"/>
        <v>2.3809523809523808E-2</v>
      </c>
      <c r="S642" s="3">
        <f t="shared" ref="S642:S705" si="72">IF(O642&gt;0, M642/O642, 0)</f>
        <v>78.039999839999993</v>
      </c>
      <c r="T642" s="4">
        <f t="shared" ref="T642:T705" si="73">IF(N642&gt;0, O642/N642, 0)</f>
        <v>0.33333333333333331</v>
      </c>
      <c r="U642" s="3">
        <f t="shared" ref="U642:U705" si="74">IF(K642&gt;0, (M642/K642)*1000, 0)</f>
        <v>0.28787381300006271</v>
      </c>
      <c r="V642" s="5">
        <f t="shared" ref="V642:V705" si="75">IF(M642&gt;0, ((O642*50)-M642)/M642, 0)</f>
        <v>-0.35930292026510074</v>
      </c>
    </row>
    <row r="643" spans="1:22" x14ac:dyDescent="0.3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t="s">
        <v>24</v>
      </c>
      <c r="G643" t="s">
        <v>23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  <c r="P643" s="2">
        <f t="shared" si="70"/>
        <v>9.1983626914409235E-3</v>
      </c>
      <c r="Q643" s="3">
        <f t="shared" si="71"/>
        <v>1.7000000475000001</v>
      </c>
      <c r="R643" s="4">
        <f t="shared" ref="R643:R706" si="76">IF(L643&gt;0, O643/L643, 0)</f>
        <v>0</v>
      </c>
      <c r="S643" s="3">
        <f t="shared" si="72"/>
        <v>0</v>
      </c>
      <c r="T643" s="4">
        <f t="shared" si="73"/>
        <v>0</v>
      </c>
      <c r="U643" s="3">
        <f t="shared" si="74"/>
        <v>0.15637217012371799</v>
      </c>
      <c r="V643" s="5">
        <f t="shared" si="75"/>
        <v>-1</v>
      </c>
    </row>
    <row r="644" spans="1:22" x14ac:dyDescent="0.3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t="s">
        <v>24</v>
      </c>
      <c r="G644" t="s">
        <v>23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  <c r="P644" s="2">
        <f t="shared" si="70"/>
        <v>1.1239743733842868E-2</v>
      </c>
      <c r="Q644" s="3">
        <f t="shared" si="71"/>
        <v>1.4830000399999999</v>
      </c>
      <c r="R644" s="4">
        <f t="shared" si="76"/>
        <v>0</v>
      </c>
      <c r="S644" s="3">
        <f t="shared" si="72"/>
        <v>0</v>
      </c>
      <c r="T644" s="4">
        <f t="shared" si="73"/>
        <v>0</v>
      </c>
      <c r="U644" s="3">
        <f t="shared" si="74"/>
        <v>0.16668540406878721</v>
      </c>
      <c r="V644" s="5">
        <f t="shared" si="75"/>
        <v>-1</v>
      </c>
    </row>
    <row r="645" spans="1:22" x14ac:dyDescent="0.3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t="s">
        <v>24</v>
      </c>
      <c r="G645" t="s">
        <v>23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  <c r="P645" s="2">
        <f t="shared" si="70"/>
        <v>1.1996825455417951E-2</v>
      </c>
      <c r="Q645" s="3">
        <f t="shared" si="71"/>
        <v>1.7253846023076922</v>
      </c>
      <c r="R645" s="4">
        <f t="shared" si="76"/>
        <v>7.6923076923076927E-2</v>
      </c>
      <c r="S645" s="3">
        <f t="shared" si="72"/>
        <v>22.42999983</v>
      </c>
      <c r="T645" s="4">
        <f t="shared" si="73"/>
        <v>1</v>
      </c>
      <c r="U645" s="3">
        <f t="shared" si="74"/>
        <v>0.20699137917351101</v>
      </c>
      <c r="V645" s="5">
        <f t="shared" si="75"/>
        <v>1.229157395406008</v>
      </c>
    </row>
    <row r="646" spans="1:22" x14ac:dyDescent="0.3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t="s">
        <v>24</v>
      </c>
      <c r="G646" t="s">
        <v>23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  <c r="P646" s="2">
        <f t="shared" si="70"/>
        <v>1.4316316358777491E-2</v>
      </c>
      <c r="Q646" s="3">
        <f t="shared" si="71"/>
        <v>1.6348148274074075</v>
      </c>
      <c r="R646" s="4">
        <f t="shared" si="76"/>
        <v>0</v>
      </c>
      <c r="S646" s="3">
        <f t="shared" si="72"/>
        <v>0</v>
      </c>
      <c r="T646" s="4">
        <f t="shared" si="73"/>
        <v>0</v>
      </c>
      <c r="U646" s="3">
        <f t="shared" si="74"/>
        <v>0.23404526257184669</v>
      </c>
      <c r="V646" s="5">
        <f t="shared" si="75"/>
        <v>-1</v>
      </c>
    </row>
    <row r="647" spans="1:22" x14ac:dyDescent="0.3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t="s">
        <v>24</v>
      </c>
      <c r="G647" t="s">
        <v>23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  <c r="P647" s="2">
        <f t="shared" si="70"/>
        <v>1.563181619892395E-2</v>
      </c>
      <c r="Q647" s="3">
        <f t="shared" si="71"/>
        <v>1.6199999993023255</v>
      </c>
      <c r="R647" s="4">
        <f t="shared" si="76"/>
        <v>6.9767441860465115E-2</v>
      </c>
      <c r="S647" s="3">
        <f t="shared" si="72"/>
        <v>23.219999990000002</v>
      </c>
      <c r="T647" s="4">
        <f t="shared" si="73"/>
        <v>0.75</v>
      </c>
      <c r="U647" s="3">
        <f t="shared" si="74"/>
        <v>0.25323542231350882</v>
      </c>
      <c r="V647" s="5">
        <f t="shared" si="75"/>
        <v>1.153316107731833</v>
      </c>
    </row>
    <row r="648" spans="1:22" x14ac:dyDescent="0.3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t="s">
        <v>24</v>
      </c>
      <c r="G648" t="s">
        <v>23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  <c r="P648" s="2">
        <f t="shared" si="70"/>
        <v>1.5468621900474887E-2</v>
      </c>
      <c r="Q648" s="3">
        <f t="shared" si="71"/>
        <v>1.6269999980000001</v>
      </c>
      <c r="R648" s="4">
        <f t="shared" si="76"/>
        <v>0</v>
      </c>
      <c r="S648" s="3">
        <f t="shared" si="72"/>
        <v>0</v>
      </c>
      <c r="T648" s="4">
        <f t="shared" si="73"/>
        <v>0</v>
      </c>
      <c r="U648" s="3">
        <f t="shared" si="74"/>
        <v>0.25167447801135401</v>
      </c>
      <c r="V648" s="5">
        <f t="shared" si="75"/>
        <v>-1</v>
      </c>
    </row>
    <row r="649" spans="1:22" x14ac:dyDescent="0.3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t="s">
        <v>24</v>
      </c>
      <c r="G649" t="s">
        <v>23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  <c r="P649" s="2">
        <f t="shared" si="70"/>
        <v>1.2793858947705102E-2</v>
      </c>
      <c r="Q649" s="3">
        <f t="shared" si="71"/>
        <v>1.4474999755</v>
      </c>
      <c r="R649" s="4">
        <f t="shared" si="76"/>
        <v>0</v>
      </c>
      <c r="S649" s="3">
        <f t="shared" si="72"/>
        <v>0</v>
      </c>
      <c r="T649" s="4">
        <f t="shared" si="73"/>
        <v>0</v>
      </c>
      <c r="U649" s="3">
        <f t="shared" si="74"/>
        <v>0.1851911051335359</v>
      </c>
      <c r="V649" s="5">
        <f t="shared" si="75"/>
        <v>-1</v>
      </c>
    </row>
    <row r="650" spans="1:22" x14ac:dyDescent="0.3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t="s">
        <v>24</v>
      </c>
      <c r="G650" t="s">
        <v>23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  <c r="P650" s="2">
        <f t="shared" si="70"/>
        <v>1.7124876023032958E-2</v>
      </c>
      <c r="Q650" s="3">
        <f t="shared" si="71"/>
        <v>1.75333334</v>
      </c>
      <c r="R650" s="4">
        <f t="shared" si="76"/>
        <v>0</v>
      </c>
      <c r="S650" s="3">
        <f t="shared" si="72"/>
        <v>0</v>
      </c>
      <c r="T650" s="4">
        <f t="shared" si="73"/>
        <v>0</v>
      </c>
      <c r="U650" s="3">
        <f t="shared" si="74"/>
        <v>0.30025616074550288</v>
      </c>
      <c r="V650" s="5">
        <f t="shared" si="75"/>
        <v>-1</v>
      </c>
    </row>
    <row r="651" spans="1:22" x14ac:dyDescent="0.3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t="s">
        <v>24</v>
      </c>
      <c r="G651" t="s">
        <v>23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  <c r="P651" s="2">
        <f t="shared" si="70"/>
        <v>1.7927572606669058E-2</v>
      </c>
      <c r="Q651" s="3">
        <f t="shared" si="71"/>
        <v>1.691749996</v>
      </c>
      <c r="R651" s="4">
        <f t="shared" si="76"/>
        <v>0</v>
      </c>
      <c r="S651" s="3">
        <f t="shared" si="72"/>
        <v>0</v>
      </c>
      <c r="T651" s="4">
        <f t="shared" si="73"/>
        <v>0</v>
      </c>
      <c r="U651" s="3">
        <f t="shared" si="74"/>
        <v>0.30328970885622086</v>
      </c>
      <c r="V651" s="5">
        <f t="shared" si="75"/>
        <v>-1</v>
      </c>
    </row>
    <row r="652" spans="1:22" x14ac:dyDescent="0.3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t="s">
        <v>24</v>
      </c>
      <c r="G652" t="s">
        <v>23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  <c r="P652" s="2">
        <f t="shared" si="70"/>
        <v>1.7164271615062603E-2</v>
      </c>
      <c r="Q652" s="3">
        <f t="shared" si="71"/>
        <v>1.8927778272222224</v>
      </c>
      <c r="R652" s="4">
        <f t="shared" si="76"/>
        <v>0</v>
      </c>
      <c r="S652" s="3">
        <f t="shared" si="72"/>
        <v>0</v>
      </c>
      <c r="T652" s="4">
        <f t="shared" si="73"/>
        <v>0</v>
      </c>
      <c r="U652" s="3">
        <f t="shared" si="74"/>
        <v>0.32488152733410258</v>
      </c>
      <c r="V652" s="5">
        <f t="shared" si="75"/>
        <v>-1</v>
      </c>
    </row>
    <row r="653" spans="1:22" x14ac:dyDescent="0.3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t="s">
        <v>24</v>
      </c>
      <c r="G653" t="s">
        <v>23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  <c r="P653" s="2">
        <f t="shared" si="70"/>
        <v>1.3924456794832209E-2</v>
      </c>
      <c r="Q653" s="3">
        <f t="shared" si="71"/>
        <v>1.8139130291304348</v>
      </c>
      <c r="R653" s="4">
        <f t="shared" si="76"/>
        <v>4.3478260869565216E-2</v>
      </c>
      <c r="S653" s="3">
        <f t="shared" si="72"/>
        <v>41.71999967</v>
      </c>
      <c r="T653" s="4">
        <f t="shared" si="73"/>
        <v>0.25</v>
      </c>
      <c r="U653" s="3">
        <f t="shared" si="74"/>
        <v>0.25257753603709959</v>
      </c>
      <c r="V653" s="5">
        <f t="shared" si="75"/>
        <v>0.19846597304635119</v>
      </c>
    </row>
    <row r="654" spans="1:22" x14ac:dyDescent="0.3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t="s">
        <v>24</v>
      </c>
      <c r="G654" t="s">
        <v>23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  <c r="P654" s="2">
        <f t="shared" si="70"/>
        <v>1.3065064018813691E-2</v>
      </c>
      <c r="Q654" s="3">
        <f t="shared" si="71"/>
        <v>1.7790908918181818</v>
      </c>
      <c r="R654" s="4">
        <f t="shared" si="76"/>
        <v>0</v>
      </c>
      <c r="S654" s="3">
        <f t="shared" si="72"/>
        <v>0</v>
      </c>
      <c r="T654" s="4">
        <f t="shared" si="73"/>
        <v>0</v>
      </c>
      <c r="U654" s="3">
        <f t="shared" si="74"/>
        <v>0.23243936396892889</v>
      </c>
      <c r="V654" s="5">
        <f t="shared" si="75"/>
        <v>-1</v>
      </c>
    </row>
    <row r="655" spans="1:22" x14ac:dyDescent="0.3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t="s">
        <v>24</v>
      </c>
      <c r="G655" t="s">
        <v>23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  <c r="P655" s="2">
        <f t="shared" si="70"/>
        <v>1.4053794297786302E-2</v>
      </c>
      <c r="Q655" s="3">
        <f t="shared" si="71"/>
        <v>1.8506451612903225</v>
      </c>
      <c r="R655" s="4">
        <f t="shared" si="76"/>
        <v>3.2258064516129031E-2</v>
      </c>
      <c r="S655" s="3">
        <f t="shared" si="72"/>
        <v>57.37</v>
      </c>
      <c r="T655" s="4">
        <f t="shared" si="73"/>
        <v>1</v>
      </c>
      <c r="U655" s="3">
        <f t="shared" si="74"/>
        <v>0.26008586414967744</v>
      </c>
      <c r="V655" s="5">
        <f t="shared" si="75"/>
        <v>-0.12846435419208641</v>
      </c>
    </row>
    <row r="656" spans="1:22" x14ac:dyDescent="0.3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t="s">
        <v>24</v>
      </c>
      <c r="G656" t="s">
        <v>23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  <c r="P656" s="2">
        <f t="shared" si="70"/>
        <v>1.3191915993878952E-2</v>
      </c>
      <c r="Q656" s="3">
        <f t="shared" si="71"/>
        <v>1.7369999650000001</v>
      </c>
      <c r="R656" s="4">
        <f t="shared" si="76"/>
        <v>0.1</v>
      </c>
      <c r="S656" s="3">
        <f t="shared" si="72"/>
        <v>17.36999965</v>
      </c>
      <c r="T656" s="4">
        <f t="shared" si="73"/>
        <v>0.5</v>
      </c>
      <c r="U656" s="3">
        <f t="shared" si="74"/>
        <v>0.22914357619650677</v>
      </c>
      <c r="V656" s="5">
        <f t="shared" si="75"/>
        <v>1.8785262525897635</v>
      </c>
    </row>
    <row r="657" spans="1:22" x14ac:dyDescent="0.3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t="s">
        <v>24</v>
      </c>
      <c r="G657" t="s">
        <v>23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  <c r="P657" s="2">
        <f t="shared" si="70"/>
        <v>1.5989766549408379E-2</v>
      </c>
      <c r="Q657" s="3">
        <f t="shared" si="71"/>
        <v>1.6998304915254236</v>
      </c>
      <c r="R657" s="4">
        <f t="shared" si="76"/>
        <v>0</v>
      </c>
      <c r="S657" s="3">
        <f t="shared" si="72"/>
        <v>0</v>
      </c>
      <c r="T657" s="4">
        <f t="shared" si="73"/>
        <v>0</v>
      </c>
      <c r="U657" s="3">
        <f t="shared" si="74"/>
        <v>0.2717989273305762</v>
      </c>
      <c r="V657" s="5">
        <f t="shared" si="75"/>
        <v>-1</v>
      </c>
    </row>
    <row r="658" spans="1:22" x14ac:dyDescent="0.3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t="s">
        <v>24</v>
      </c>
      <c r="G658" t="s">
        <v>23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  <c r="P658" s="2">
        <f t="shared" si="70"/>
        <v>1.0640561821664184E-2</v>
      </c>
      <c r="Q658" s="3">
        <f t="shared" si="71"/>
        <v>1.2366666396666666</v>
      </c>
      <c r="R658" s="4">
        <f t="shared" si="76"/>
        <v>0</v>
      </c>
      <c r="S658" s="3">
        <f t="shared" si="72"/>
        <v>0</v>
      </c>
      <c r="T658" s="4">
        <f t="shared" si="73"/>
        <v>0</v>
      </c>
      <c r="U658" s="3">
        <f t="shared" si="74"/>
        <v>0.1315882783216287</v>
      </c>
      <c r="V658" s="5">
        <f t="shared" si="75"/>
        <v>-1</v>
      </c>
    </row>
    <row r="659" spans="1:22" x14ac:dyDescent="0.3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t="s">
        <v>24</v>
      </c>
      <c r="G659" t="s">
        <v>23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  <c r="P659" s="2">
        <f t="shared" si="70"/>
        <v>1.4005462130230791E-2</v>
      </c>
      <c r="Q659" s="3">
        <f t="shared" si="71"/>
        <v>1.6578571285714285</v>
      </c>
      <c r="R659" s="4">
        <f t="shared" si="76"/>
        <v>0</v>
      </c>
      <c r="S659" s="3">
        <f t="shared" si="72"/>
        <v>0</v>
      </c>
      <c r="T659" s="4">
        <f t="shared" si="73"/>
        <v>0</v>
      </c>
      <c r="U659" s="3">
        <f t="shared" si="74"/>
        <v>0.232190552315403</v>
      </c>
      <c r="V659" s="5">
        <f t="shared" si="75"/>
        <v>-1</v>
      </c>
    </row>
    <row r="660" spans="1:22" x14ac:dyDescent="0.3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t="s">
        <v>24</v>
      </c>
      <c r="G660" t="s">
        <v>23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  <c r="P660" s="2">
        <f t="shared" si="70"/>
        <v>0</v>
      </c>
      <c r="Q660" s="3">
        <f t="shared" si="71"/>
        <v>0</v>
      </c>
      <c r="R660" s="4">
        <f t="shared" si="76"/>
        <v>0</v>
      </c>
      <c r="S660" s="3">
        <f t="shared" si="72"/>
        <v>0</v>
      </c>
      <c r="T660" s="4">
        <f t="shared" si="73"/>
        <v>0</v>
      </c>
      <c r="U660" s="3">
        <f t="shared" si="74"/>
        <v>0</v>
      </c>
      <c r="V660" s="5">
        <f t="shared" si="75"/>
        <v>0</v>
      </c>
    </row>
    <row r="661" spans="1:22" x14ac:dyDescent="0.3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t="s">
        <v>24</v>
      </c>
      <c r="G661" t="s">
        <v>23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  <c r="P661" s="2">
        <f t="shared" si="70"/>
        <v>1.5019372073592007E-2</v>
      </c>
      <c r="Q661" s="3">
        <f t="shared" si="71"/>
        <v>1.7270873708737864</v>
      </c>
      <c r="R661" s="4">
        <f t="shared" si="76"/>
        <v>9.7087378640776691E-3</v>
      </c>
      <c r="S661" s="3">
        <f t="shared" si="72"/>
        <v>177.88999920000001</v>
      </c>
      <c r="T661" s="4">
        <f t="shared" si="73"/>
        <v>0.1</v>
      </c>
      <c r="U661" s="3">
        <f t="shared" si="74"/>
        <v>0.25939767826755189</v>
      </c>
      <c r="V661" s="5">
        <f t="shared" si="75"/>
        <v>-0.71892742579763869</v>
      </c>
    </row>
    <row r="662" spans="1:22" x14ac:dyDescent="0.3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t="s">
        <v>24</v>
      </c>
      <c r="G662" t="s">
        <v>23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  <c r="P662" s="2">
        <f t="shared" si="70"/>
        <v>1.568072583527215E-2</v>
      </c>
      <c r="Q662" s="3">
        <f t="shared" si="71"/>
        <v>1.5527907000000001</v>
      </c>
      <c r="R662" s="4">
        <f t="shared" si="76"/>
        <v>2.3255813953488372E-2</v>
      </c>
      <c r="S662" s="3">
        <f t="shared" si="72"/>
        <v>66.770000100000004</v>
      </c>
      <c r="T662" s="4">
        <f t="shared" si="73"/>
        <v>0.5</v>
      </c>
      <c r="U662" s="3">
        <f t="shared" si="74"/>
        <v>0.24348885246260332</v>
      </c>
      <c r="V662" s="5">
        <f t="shared" si="75"/>
        <v>-0.2511607020351046</v>
      </c>
    </row>
    <row r="663" spans="1:22" x14ac:dyDescent="0.3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t="s">
        <v>24</v>
      </c>
      <c r="G663" t="s">
        <v>23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  <c r="P663" s="2">
        <f t="shared" si="70"/>
        <v>2.2623820167778249E-2</v>
      </c>
      <c r="Q663" s="3">
        <f t="shared" si="71"/>
        <v>1.3071999980000002</v>
      </c>
      <c r="R663" s="4">
        <f t="shared" si="76"/>
        <v>0</v>
      </c>
      <c r="S663" s="3">
        <f t="shared" si="72"/>
        <v>0</v>
      </c>
      <c r="T663" s="4">
        <f t="shared" si="73"/>
        <v>0</v>
      </c>
      <c r="U663" s="3">
        <f t="shared" si="74"/>
        <v>0.29573857678072091</v>
      </c>
      <c r="V663" s="5">
        <f t="shared" si="75"/>
        <v>-1</v>
      </c>
    </row>
    <row r="664" spans="1:22" x14ac:dyDescent="0.3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t="s">
        <v>24</v>
      </c>
      <c r="G664" t="s">
        <v>23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  <c r="P664" s="2">
        <f t="shared" si="70"/>
        <v>1.6093883288263555E-2</v>
      </c>
      <c r="Q664" s="3">
        <f t="shared" si="71"/>
        <v>1.8050643703862661</v>
      </c>
      <c r="R664" s="4">
        <f t="shared" si="76"/>
        <v>3.4334763948497854E-2</v>
      </c>
      <c r="S664" s="3">
        <f t="shared" si="72"/>
        <v>52.5724997875</v>
      </c>
      <c r="T664" s="4">
        <f t="shared" si="73"/>
        <v>0.72727272727272729</v>
      </c>
      <c r="U664" s="3">
        <f t="shared" si="74"/>
        <v>0.29050495304799501</v>
      </c>
      <c r="V664" s="5">
        <f t="shared" si="75"/>
        <v>-4.8932422804662888E-2</v>
      </c>
    </row>
    <row r="665" spans="1:22" x14ac:dyDescent="0.3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t="s">
        <v>24</v>
      </c>
      <c r="G665" t="s">
        <v>23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  <c r="P665" s="2">
        <f t="shared" si="70"/>
        <v>1.4485204199594972E-2</v>
      </c>
      <c r="Q665" s="3">
        <f t="shared" si="71"/>
        <v>1.6836538590384615</v>
      </c>
      <c r="R665" s="4">
        <f t="shared" si="76"/>
        <v>0</v>
      </c>
      <c r="S665" s="3">
        <f t="shared" si="72"/>
        <v>0</v>
      </c>
      <c r="T665" s="4">
        <f t="shared" si="73"/>
        <v>0</v>
      </c>
      <c r="U665" s="3">
        <f t="shared" si="74"/>
        <v>0.24388069949608204</v>
      </c>
      <c r="V665" s="5">
        <f t="shared" si="75"/>
        <v>-1</v>
      </c>
    </row>
    <row r="666" spans="1:22" x14ac:dyDescent="0.3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t="s">
        <v>24</v>
      </c>
      <c r="G666" t="s">
        <v>23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  <c r="P666" s="2">
        <f t="shared" si="70"/>
        <v>1.5129417033302872E-2</v>
      </c>
      <c r="Q666" s="3">
        <f t="shared" si="71"/>
        <v>1.8589600064</v>
      </c>
      <c r="R666" s="4">
        <f t="shared" si="76"/>
        <v>8.0000000000000002E-3</v>
      </c>
      <c r="S666" s="3">
        <f t="shared" si="72"/>
        <v>232.37000080000001</v>
      </c>
      <c r="T666" s="4">
        <f t="shared" si="73"/>
        <v>0.2</v>
      </c>
      <c r="U666" s="3">
        <f t="shared" si="74"/>
        <v>0.2812498118505698</v>
      </c>
      <c r="V666" s="5">
        <f t="shared" si="75"/>
        <v>-0.78482592491345382</v>
      </c>
    </row>
    <row r="667" spans="1:22" x14ac:dyDescent="0.3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t="s">
        <v>24</v>
      </c>
      <c r="G667" t="s">
        <v>23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  <c r="P667" s="2">
        <f t="shared" si="70"/>
        <v>1.52462819037524E-2</v>
      </c>
      <c r="Q667" s="3">
        <f t="shared" si="71"/>
        <v>1.7873809666666667</v>
      </c>
      <c r="R667" s="4">
        <f t="shared" si="76"/>
        <v>0</v>
      </c>
      <c r="S667" s="3">
        <f t="shared" si="72"/>
        <v>0</v>
      </c>
      <c r="T667" s="4">
        <f t="shared" si="73"/>
        <v>0</v>
      </c>
      <c r="U667" s="3">
        <f t="shared" si="74"/>
        <v>0.27250914087201472</v>
      </c>
      <c r="V667" s="5">
        <f t="shared" si="75"/>
        <v>-1</v>
      </c>
    </row>
    <row r="668" spans="1:22" x14ac:dyDescent="0.3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t="s">
        <v>24</v>
      </c>
      <c r="G668" t="s">
        <v>23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  <c r="P668" s="2">
        <f t="shared" si="70"/>
        <v>1.453680454605524E-2</v>
      </c>
      <c r="Q668" s="3">
        <f t="shared" si="71"/>
        <v>1.7541818314545454</v>
      </c>
      <c r="R668" s="4">
        <f t="shared" si="76"/>
        <v>0</v>
      </c>
      <c r="S668" s="3">
        <f t="shared" si="72"/>
        <v>0</v>
      </c>
      <c r="T668" s="4">
        <f t="shared" si="73"/>
        <v>0</v>
      </c>
      <c r="U668" s="3">
        <f t="shared" si="74"/>
        <v>0.25500198422095943</v>
      </c>
      <c r="V668" s="5">
        <f t="shared" si="75"/>
        <v>-1</v>
      </c>
    </row>
    <row r="669" spans="1:22" x14ac:dyDescent="0.3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t="s">
        <v>24</v>
      </c>
      <c r="G669" t="s">
        <v>23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  <c r="P669" s="2">
        <f t="shared" si="70"/>
        <v>1.1364005324848209E-2</v>
      </c>
      <c r="Q669" s="3">
        <f t="shared" si="71"/>
        <v>1.7055357375</v>
      </c>
      <c r="R669" s="4">
        <f t="shared" si="76"/>
        <v>7.1428571428571425E-2</v>
      </c>
      <c r="S669" s="3">
        <f t="shared" si="72"/>
        <v>23.877500325</v>
      </c>
      <c r="T669" s="4">
        <f t="shared" si="73"/>
        <v>0.5714285714285714</v>
      </c>
      <c r="U669" s="3">
        <f t="shared" si="74"/>
        <v>0.19381717202668916</v>
      </c>
      <c r="V669" s="5">
        <f t="shared" si="75"/>
        <v>1.0940215399201341</v>
      </c>
    </row>
    <row r="670" spans="1:22" x14ac:dyDescent="0.3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t="s">
        <v>24</v>
      </c>
      <c r="G670" t="s">
        <v>23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  <c r="P670" s="2">
        <f t="shared" si="70"/>
        <v>1.3143496414576444E-2</v>
      </c>
      <c r="Q670" s="3">
        <f t="shared" si="71"/>
        <v>1.6816279139534884</v>
      </c>
      <c r="R670" s="4">
        <f t="shared" si="76"/>
        <v>4.6511627906976744E-2</v>
      </c>
      <c r="S670" s="3">
        <f t="shared" si="72"/>
        <v>36.155000149999999</v>
      </c>
      <c r="T670" s="4">
        <f t="shared" si="73"/>
        <v>0.33333333333333331</v>
      </c>
      <c r="U670" s="3">
        <f t="shared" si="74"/>
        <v>0.22102470457699339</v>
      </c>
      <c r="V670" s="5">
        <f t="shared" si="75"/>
        <v>0.38293458145650155</v>
      </c>
    </row>
    <row r="671" spans="1:22" x14ac:dyDescent="0.3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t="s">
        <v>24</v>
      </c>
      <c r="G671" t="s">
        <v>23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  <c r="P671" s="2">
        <f t="shared" si="70"/>
        <v>0</v>
      </c>
      <c r="Q671" s="3">
        <f t="shared" si="71"/>
        <v>0</v>
      </c>
      <c r="R671" s="4">
        <f t="shared" si="76"/>
        <v>0</v>
      </c>
      <c r="S671" s="3">
        <f t="shared" si="72"/>
        <v>0</v>
      </c>
      <c r="T671" s="4">
        <f t="shared" si="73"/>
        <v>0</v>
      </c>
      <c r="U671" s="3">
        <f t="shared" si="74"/>
        <v>0</v>
      </c>
      <c r="V671" s="5">
        <f t="shared" si="75"/>
        <v>0</v>
      </c>
    </row>
    <row r="672" spans="1:22" x14ac:dyDescent="0.3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t="s">
        <v>24</v>
      </c>
      <c r="G672" t="s">
        <v>23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  <c r="P672" s="2">
        <f t="shared" si="70"/>
        <v>8.4189257450749278E-3</v>
      </c>
      <c r="Q672" s="3">
        <f t="shared" si="71"/>
        <v>1.8419999837999999</v>
      </c>
      <c r="R672" s="4">
        <f t="shared" si="76"/>
        <v>0.6</v>
      </c>
      <c r="S672" s="3">
        <f t="shared" si="72"/>
        <v>3.0699999729999998</v>
      </c>
      <c r="T672" s="4">
        <f t="shared" si="73"/>
        <v>0.6</v>
      </c>
      <c r="U672" s="3">
        <f t="shared" si="74"/>
        <v>0.15507661086041422</v>
      </c>
      <c r="V672" s="5">
        <f t="shared" si="75"/>
        <v>15.28664509437766</v>
      </c>
    </row>
    <row r="673" spans="1:22" x14ac:dyDescent="0.3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t="s">
        <v>24</v>
      </c>
      <c r="G673" t="s">
        <v>23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  <c r="P673" s="2">
        <f t="shared" si="70"/>
        <v>1.4130131785106649E-2</v>
      </c>
      <c r="Q673" s="3">
        <f t="shared" si="71"/>
        <v>1.7295918625850339</v>
      </c>
      <c r="R673" s="4">
        <f t="shared" si="76"/>
        <v>1.3605442176870748E-2</v>
      </c>
      <c r="S673" s="3">
        <f t="shared" si="72"/>
        <v>127.1250019</v>
      </c>
      <c r="T673" s="4">
        <f t="shared" si="73"/>
        <v>0.15384615384615385</v>
      </c>
      <c r="U673" s="3">
        <f t="shared" si="74"/>
        <v>0.24439360952774603</v>
      </c>
      <c r="V673" s="5">
        <f t="shared" si="75"/>
        <v>-0.60668633822848339</v>
      </c>
    </row>
    <row r="674" spans="1:22" x14ac:dyDescent="0.3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t="s">
        <v>24</v>
      </c>
      <c r="G674" t="s">
        <v>23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  <c r="P674" s="2">
        <f t="shared" si="70"/>
        <v>1.2140342357654486E-2</v>
      </c>
      <c r="Q674" s="3">
        <f t="shared" si="71"/>
        <v>1.8616667183333335</v>
      </c>
      <c r="R674" s="4">
        <f t="shared" si="76"/>
        <v>0</v>
      </c>
      <c r="S674" s="3">
        <f t="shared" si="72"/>
        <v>0</v>
      </c>
      <c r="T674" s="4">
        <f t="shared" si="73"/>
        <v>0</v>
      </c>
      <c r="U674" s="3">
        <f t="shared" si="74"/>
        <v>0.2260127131641779</v>
      </c>
      <c r="V674" s="5">
        <f t="shared" si="75"/>
        <v>-1</v>
      </c>
    </row>
    <row r="675" spans="1:22" x14ac:dyDescent="0.3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t="s">
        <v>24</v>
      </c>
      <c r="G675" t="s">
        <v>23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  <c r="P675" s="2">
        <f t="shared" si="70"/>
        <v>1.3730919742774102E-2</v>
      </c>
      <c r="Q675" s="3">
        <f t="shared" si="71"/>
        <v>1.9016666811111109</v>
      </c>
      <c r="R675" s="4">
        <f t="shared" si="76"/>
        <v>5.5555555555555552E-2</v>
      </c>
      <c r="S675" s="3">
        <f t="shared" si="72"/>
        <v>34.230000259999997</v>
      </c>
      <c r="T675" s="4">
        <f t="shared" si="73"/>
        <v>0.33333333333333331</v>
      </c>
      <c r="U675" s="3">
        <f t="shared" si="74"/>
        <v>0.26111632575844262</v>
      </c>
      <c r="V675" s="5">
        <f t="shared" si="75"/>
        <v>0.46070697108431763</v>
      </c>
    </row>
    <row r="676" spans="1:22" x14ac:dyDescent="0.3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t="s">
        <v>24</v>
      </c>
      <c r="G676" t="s">
        <v>23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  <c r="P676" s="2">
        <f t="shared" si="70"/>
        <v>1.5675455371978557E-2</v>
      </c>
      <c r="Q676" s="3">
        <f t="shared" si="71"/>
        <v>1.6840000073333334</v>
      </c>
      <c r="R676" s="4">
        <f t="shared" si="76"/>
        <v>6.6666666666666666E-2</v>
      </c>
      <c r="S676" s="3">
        <f t="shared" si="72"/>
        <v>25.26000011</v>
      </c>
      <c r="T676" s="4">
        <f t="shared" si="73"/>
        <v>1</v>
      </c>
      <c r="U676" s="3">
        <f t="shared" si="74"/>
        <v>0.26397466961365229</v>
      </c>
      <c r="V676" s="5">
        <f t="shared" si="75"/>
        <v>0.97941408480856895</v>
      </c>
    </row>
    <row r="677" spans="1:22" x14ac:dyDescent="0.3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t="s">
        <v>24</v>
      </c>
      <c r="G677" t="s">
        <v>23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  <c r="P677" s="2">
        <f t="shared" si="70"/>
        <v>6.4462064075291696E-3</v>
      </c>
      <c r="Q677" s="3">
        <f t="shared" si="71"/>
        <v>1.289999962</v>
      </c>
      <c r="R677" s="4">
        <f t="shared" si="76"/>
        <v>0</v>
      </c>
      <c r="S677" s="3">
        <f t="shared" si="72"/>
        <v>0</v>
      </c>
      <c r="T677" s="4">
        <f t="shared" si="73"/>
        <v>0</v>
      </c>
      <c r="U677" s="3">
        <f t="shared" si="74"/>
        <v>8.3156060207567842E-2</v>
      </c>
      <c r="V677" s="5">
        <f t="shared" si="75"/>
        <v>-1</v>
      </c>
    </row>
    <row r="678" spans="1:22" x14ac:dyDescent="0.3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t="s">
        <v>24</v>
      </c>
      <c r="G678" t="s">
        <v>23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  <c r="P678" s="2">
        <f t="shared" si="70"/>
        <v>1.6468995156024124E-2</v>
      </c>
      <c r="Q678" s="3">
        <f t="shared" si="71"/>
        <v>1.8093650984126983</v>
      </c>
      <c r="R678" s="4">
        <f t="shared" si="76"/>
        <v>4.7619047619047616E-2</v>
      </c>
      <c r="S678" s="3">
        <f t="shared" si="72"/>
        <v>37.996667066666667</v>
      </c>
      <c r="T678" s="4">
        <f t="shared" si="73"/>
        <v>0.75</v>
      </c>
      <c r="U678" s="3">
        <f t="shared" si="74"/>
        <v>0.29798425041237836</v>
      </c>
      <c r="V678" s="5">
        <f t="shared" si="75"/>
        <v>0.31590489008609651</v>
      </c>
    </row>
    <row r="679" spans="1:22" x14ac:dyDescent="0.3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t="s">
        <v>24</v>
      </c>
      <c r="G679" t="s">
        <v>23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  <c r="P679" s="2">
        <f t="shared" si="70"/>
        <v>1.3872150790279092E-2</v>
      </c>
      <c r="Q679" s="3">
        <f t="shared" si="71"/>
        <v>1.892187471875</v>
      </c>
      <c r="R679" s="4">
        <f t="shared" si="76"/>
        <v>4.6875E-2</v>
      </c>
      <c r="S679" s="3">
        <f t="shared" si="72"/>
        <v>40.366666066666667</v>
      </c>
      <c r="T679" s="4">
        <f t="shared" si="73"/>
        <v>0.5</v>
      </c>
      <c r="U679" s="3">
        <f t="shared" si="74"/>
        <v>0.26248709933326975</v>
      </c>
      <c r="V679" s="5">
        <f t="shared" si="75"/>
        <v>0.23864576572718726</v>
      </c>
    </row>
    <row r="680" spans="1:22" x14ac:dyDescent="0.3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t="s">
        <v>24</v>
      </c>
      <c r="G680" t="s">
        <v>23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  <c r="P680" s="2">
        <f t="shared" si="70"/>
        <v>1.3501774336948243E-2</v>
      </c>
      <c r="Q680" s="3">
        <f t="shared" si="71"/>
        <v>1.8622641541509433</v>
      </c>
      <c r="R680" s="4">
        <f t="shared" si="76"/>
        <v>3.7735849056603772E-2</v>
      </c>
      <c r="S680" s="3">
        <f t="shared" si="72"/>
        <v>49.350000084999998</v>
      </c>
      <c r="T680" s="4">
        <f t="shared" si="73"/>
        <v>0.66666666666666663</v>
      </c>
      <c r="U680" s="3">
        <f t="shared" si="74"/>
        <v>0.2514387036513383</v>
      </c>
      <c r="V680" s="5">
        <f t="shared" si="75"/>
        <v>1.3171224192106345E-2</v>
      </c>
    </row>
    <row r="681" spans="1:22" x14ac:dyDescent="0.3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t="s">
        <v>24</v>
      </c>
      <c r="G681" t="s">
        <v>23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  <c r="P681" s="2">
        <f t="shared" si="70"/>
        <v>1.4249886000911993E-2</v>
      </c>
      <c r="Q681" s="3">
        <f t="shared" si="71"/>
        <v>1.7600000143999999</v>
      </c>
      <c r="R681" s="4">
        <f t="shared" si="76"/>
        <v>0.2</v>
      </c>
      <c r="S681" s="3">
        <f t="shared" si="72"/>
        <v>8.8000000719999996</v>
      </c>
      <c r="T681" s="4">
        <f t="shared" si="73"/>
        <v>1</v>
      </c>
      <c r="U681" s="3">
        <f t="shared" si="74"/>
        <v>0.25079799566803462</v>
      </c>
      <c r="V681" s="5">
        <f t="shared" si="75"/>
        <v>4.6818181353305786</v>
      </c>
    </row>
    <row r="682" spans="1:22" x14ac:dyDescent="0.3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t="s">
        <v>24</v>
      </c>
      <c r="G682" t="s">
        <v>23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  <c r="P682" s="2">
        <f t="shared" si="70"/>
        <v>1.1124914245452691E-2</v>
      </c>
      <c r="Q682" s="3">
        <f t="shared" si="71"/>
        <v>1.6549999913333335</v>
      </c>
      <c r="R682" s="4">
        <f t="shared" si="76"/>
        <v>0.16666666666666666</v>
      </c>
      <c r="S682" s="3">
        <f t="shared" si="72"/>
        <v>9.9299999480000007</v>
      </c>
      <c r="T682" s="4">
        <f t="shared" si="73"/>
        <v>0.33333333333333331</v>
      </c>
      <c r="U682" s="3">
        <f t="shared" si="74"/>
        <v>0.18411732979808282</v>
      </c>
      <c r="V682" s="5">
        <f t="shared" si="75"/>
        <v>4.0352467534574847</v>
      </c>
    </row>
    <row r="683" spans="1:22" x14ac:dyDescent="0.3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t="s">
        <v>24</v>
      </c>
      <c r="G683" t="s">
        <v>23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  <c r="P683" s="2">
        <f t="shared" si="70"/>
        <v>1.4419232634655971E-2</v>
      </c>
      <c r="Q683" s="3">
        <f t="shared" si="71"/>
        <v>1.6178787693939394</v>
      </c>
      <c r="R683" s="4">
        <f t="shared" si="76"/>
        <v>6.0606060606060608E-2</v>
      </c>
      <c r="S683" s="3">
        <f t="shared" si="72"/>
        <v>26.694999695</v>
      </c>
      <c r="T683" s="4">
        <f t="shared" si="73"/>
        <v>0.5</v>
      </c>
      <c r="U683" s="3">
        <f t="shared" si="74"/>
        <v>0.23328570350562131</v>
      </c>
      <c r="V683" s="5">
        <f t="shared" si="75"/>
        <v>0.87300994835242685</v>
      </c>
    </row>
    <row r="684" spans="1:22" x14ac:dyDescent="0.3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t="s">
        <v>24</v>
      </c>
      <c r="G684" t="s">
        <v>23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3.7699999809999998</v>
      </c>
      <c r="N684">
        <v>1</v>
      </c>
      <c r="O684">
        <v>1</v>
      </c>
      <c r="P684" s="2">
        <f t="shared" si="70"/>
        <v>9.5424400019084882E-3</v>
      </c>
      <c r="Q684" s="3">
        <f t="shared" si="71"/>
        <v>1.8849999904999999</v>
      </c>
      <c r="R684" s="4">
        <f t="shared" si="76"/>
        <v>0.5</v>
      </c>
      <c r="S684" s="3">
        <f t="shared" si="72"/>
        <v>3.7699999809999998</v>
      </c>
      <c r="T684" s="4">
        <f t="shared" si="73"/>
        <v>1</v>
      </c>
      <c r="U684" s="3">
        <f t="shared" si="74"/>
        <v>0.17987499312944319</v>
      </c>
      <c r="V684" s="5">
        <f t="shared" si="75"/>
        <v>12.26259953633671</v>
      </c>
    </row>
    <row r="685" spans="1:22" x14ac:dyDescent="0.3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t="s">
        <v>24</v>
      </c>
      <c r="G685" t="s">
        <v>23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3.1900000569999998</v>
      </c>
      <c r="N685">
        <v>1</v>
      </c>
      <c r="O685">
        <v>0</v>
      </c>
      <c r="P685" s="2">
        <f t="shared" si="70"/>
        <v>8.0025608194622278E-3</v>
      </c>
      <c r="Q685" s="3">
        <f t="shared" si="71"/>
        <v>1.5950000284999999</v>
      </c>
      <c r="R685" s="4">
        <f t="shared" si="76"/>
        <v>0</v>
      </c>
      <c r="S685" s="3">
        <f t="shared" si="72"/>
        <v>0</v>
      </c>
      <c r="T685" s="4">
        <f t="shared" si="73"/>
        <v>0</v>
      </c>
      <c r="U685" s="3">
        <f t="shared" si="74"/>
        <v>0.12764084735115236</v>
      </c>
      <c r="V685" s="5">
        <f t="shared" si="75"/>
        <v>-1</v>
      </c>
    </row>
    <row r="686" spans="1:22" x14ac:dyDescent="0.3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t="s">
        <v>24</v>
      </c>
      <c r="G686" t="s">
        <v>23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  <c r="P686" s="2">
        <f t="shared" si="70"/>
        <v>1.4947534155115546E-2</v>
      </c>
      <c r="Q686" s="3">
        <f t="shared" si="71"/>
        <v>1.6119999966666667</v>
      </c>
      <c r="R686" s="4">
        <f t="shared" si="76"/>
        <v>6.6666666666666666E-2</v>
      </c>
      <c r="S686" s="3">
        <f t="shared" si="72"/>
        <v>24.179999949999999</v>
      </c>
      <c r="T686" s="4">
        <f t="shared" si="73"/>
        <v>0.5</v>
      </c>
      <c r="U686" s="3">
        <f t="shared" si="74"/>
        <v>0.24095425008221144</v>
      </c>
      <c r="V686" s="5">
        <f t="shared" si="75"/>
        <v>1.0678246527457087</v>
      </c>
    </row>
    <row r="687" spans="1:22" x14ac:dyDescent="0.3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t="s">
        <v>24</v>
      </c>
      <c r="G687" t="s">
        <v>23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  <c r="P687" s="2">
        <f t="shared" si="70"/>
        <v>1.4703468650837073E-2</v>
      </c>
      <c r="Q687" s="3">
        <f t="shared" si="71"/>
        <v>1.7883720855813952</v>
      </c>
      <c r="R687" s="4">
        <f t="shared" si="76"/>
        <v>2.3255813953488372E-2</v>
      </c>
      <c r="S687" s="3">
        <f t="shared" si="72"/>
        <v>76.899999679999993</v>
      </c>
      <c r="T687" s="4">
        <f t="shared" si="73"/>
        <v>0.5</v>
      </c>
      <c r="U687" s="3">
        <f t="shared" si="74"/>
        <v>0.26295272896378158</v>
      </c>
      <c r="V687" s="5">
        <f t="shared" si="75"/>
        <v>-0.34980493877682156</v>
      </c>
    </row>
    <row r="688" spans="1:22" x14ac:dyDescent="0.3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t="s">
        <v>24</v>
      </c>
      <c r="G688" t="s">
        <v>23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  <c r="P688" s="2">
        <f t="shared" si="70"/>
        <v>1.0759299108515216E-2</v>
      </c>
      <c r="Q688" s="3">
        <f t="shared" si="71"/>
        <v>2.0742857285714287</v>
      </c>
      <c r="R688" s="4">
        <f t="shared" si="76"/>
        <v>0.14285714285714285</v>
      </c>
      <c r="S688" s="3">
        <f t="shared" si="72"/>
        <v>14.520000100000001</v>
      </c>
      <c r="T688" s="4">
        <f t="shared" si="73"/>
        <v>1</v>
      </c>
      <c r="U688" s="3">
        <f t="shared" si="74"/>
        <v>0.22317860590224411</v>
      </c>
      <c r="V688" s="5">
        <f t="shared" si="75"/>
        <v>2.4435261470831526</v>
      </c>
    </row>
    <row r="689" spans="1:22" x14ac:dyDescent="0.3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t="s">
        <v>24</v>
      </c>
      <c r="G689" t="s">
        <v>23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  <c r="P689" s="2">
        <f t="shared" si="70"/>
        <v>1.5752047766209608E-2</v>
      </c>
      <c r="Q689" s="3">
        <f t="shared" si="71"/>
        <v>1.7223809785714284</v>
      </c>
      <c r="R689" s="4">
        <f t="shared" si="76"/>
        <v>0</v>
      </c>
      <c r="S689" s="3">
        <f t="shared" si="72"/>
        <v>0</v>
      </c>
      <c r="T689" s="4">
        <f t="shared" si="73"/>
        <v>0</v>
      </c>
      <c r="U689" s="3">
        <f t="shared" si="74"/>
        <v>0.27131027446067985</v>
      </c>
      <c r="V689" s="5">
        <f t="shared" si="75"/>
        <v>-1</v>
      </c>
    </row>
    <row r="690" spans="1:22" x14ac:dyDescent="0.3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t="s">
        <v>24</v>
      </c>
      <c r="G690" t="s">
        <v>23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  <c r="P690" s="2">
        <f t="shared" si="70"/>
        <v>2.2907287160465546E-2</v>
      </c>
      <c r="Q690" s="3">
        <f t="shared" si="71"/>
        <v>1.4784615680769231</v>
      </c>
      <c r="R690" s="4">
        <f t="shared" si="76"/>
        <v>0.15384615384615385</v>
      </c>
      <c r="S690" s="3">
        <f t="shared" si="72"/>
        <v>9.6100001924999994</v>
      </c>
      <c r="T690" s="4">
        <f t="shared" si="73"/>
        <v>0.8</v>
      </c>
      <c r="U690" s="3">
        <f t="shared" si="74"/>
        <v>0.3386754369565026</v>
      </c>
      <c r="V690" s="5">
        <f t="shared" si="75"/>
        <v>4.2029135274130232</v>
      </c>
    </row>
    <row r="691" spans="1:22" x14ac:dyDescent="0.3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t="s">
        <v>24</v>
      </c>
      <c r="G691" t="s">
        <v>23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  <c r="P691" s="2">
        <f t="shared" si="70"/>
        <v>2.1264457237695138E-2</v>
      </c>
      <c r="Q691" s="3">
        <f t="shared" si="71"/>
        <v>1.5104878036585367</v>
      </c>
      <c r="R691" s="4">
        <f t="shared" si="76"/>
        <v>7.3170731707317069E-2</v>
      </c>
      <c r="S691" s="3">
        <f t="shared" si="72"/>
        <v>20.643333316666666</v>
      </c>
      <c r="T691" s="4">
        <f t="shared" si="73"/>
        <v>0.75</v>
      </c>
      <c r="U691" s="3">
        <f t="shared" si="74"/>
        <v>0.32119703308957004</v>
      </c>
      <c r="V691" s="5">
        <f t="shared" si="75"/>
        <v>1.4220894577927414</v>
      </c>
    </row>
    <row r="692" spans="1:22" x14ac:dyDescent="0.3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t="s">
        <v>24</v>
      </c>
      <c r="G692" t="s">
        <v>23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  <c r="P692" s="2">
        <f t="shared" si="70"/>
        <v>1.8422991893883568E-2</v>
      </c>
      <c r="Q692" s="3">
        <f t="shared" si="71"/>
        <v>1.6374418790697676</v>
      </c>
      <c r="R692" s="4">
        <f t="shared" si="76"/>
        <v>2.3255813953488372E-2</v>
      </c>
      <c r="S692" s="3">
        <f t="shared" si="72"/>
        <v>70.410000800000006</v>
      </c>
      <c r="T692" s="4">
        <f t="shared" si="73"/>
        <v>0.5</v>
      </c>
      <c r="U692" s="3">
        <f t="shared" si="74"/>
        <v>0.30166578464807803</v>
      </c>
      <c r="V692" s="5">
        <f t="shared" si="75"/>
        <v>-0.28987360556882713</v>
      </c>
    </row>
    <row r="693" spans="1:22" x14ac:dyDescent="0.3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t="s">
        <v>24</v>
      </c>
      <c r="G693" t="s">
        <v>23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  <c r="P693" s="2">
        <f t="shared" si="70"/>
        <v>1.8627321623991992E-2</v>
      </c>
      <c r="Q693" s="3">
        <f t="shared" si="71"/>
        <v>1.5666666625000001</v>
      </c>
      <c r="R693" s="4">
        <f t="shared" si="76"/>
        <v>0</v>
      </c>
      <c r="S693" s="3">
        <f t="shared" si="72"/>
        <v>0</v>
      </c>
      <c r="T693" s="4">
        <f t="shared" si="73"/>
        <v>0</v>
      </c>
      <c r="U693" s="3">
        <f t="shared" si="74"/>
        <v>0.29182803799973611</v>
      </c>
      <c r="V693" s="5">
        <f t="shared" si="75"/>
        <v>-1</v>
      </c>
    </row>
    <row r="694" spans="1:22" x14ac:dyDescent="0.3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t="s">
        <v>24</v>
      </c>
      <c r="G694" t="s">
        <v>23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  <c r="P694" s="2">
        <f t="shared" si="70"/>
        <v>1.8878610534264678E-2</v>
      </c>
      <c r="Q694" s="3">
        <f t="shared" si="71"/>
        <v>1.7158333558333334</v>
      </c>
      <c r="R694" s="4">
        <f t="shared" si="76"/>
        <v>0</v>
      </c>
      <c r="S694" s="3">
        <f t="shared" si="72"/>
        <v>0</v>
      </c>
      <c r="T694" s="4">
        <f t="shared" si="73"/>
        <v>0</v>
      </c>
      <c r="U694" s="3">
        <f t="shared" si="74"/>
        <v>0.32392549666477882</v>
      </c>
      <c r="V694" s="5">
        <f t="shared" si="75"/>
        <v>-1</v>
      </c>
    </row>
    <row r="695" spans="1:22" x14ac:dyDescent="0.3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t="s">
        <v>24</v>
      </c>
      <c r="G695" t="s">
        <v>23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  <c r="P695" s="2">
        <f t="shared" si="70"/>
        <v>1.6284750494358496E-2</v>
      </c>
      <c r="Q695" s="3">
        <f t="shared" si="71"/>
        <v>1.7700000150000001</v>
      </c>
      <c r="R695" s="4">
        <f t="shared" si="76"/>
        <v>7.1428571428571425E-2</v>
      </c>
      <c r="S695" s="3">
        <f t="shared" si="72"/>
        <v>24.780000210000001</v>
      </c>
      <c r="T695" s="4">
        <f t="shared" si="73"/>
        <v>1</v>
      </c>
      <c r="U695" s="3">
        <f t="shared" si="74"/>
        <v>0.28824008619285796</v>
      </c>
      <c r="V695" s="5">
        <f t="shared" si="75"/>
        <v>1.0177562379447613</v>
      </c>
    </row>
    <row r="696" spans="1:22" x14ac:dyDescent="0.3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t="s">
        <v>24</v>
      </c>
      <c r="G696" t="s">
        <v>23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  <c r="P696" s="2">
        <f t="shared" si="70"/>
        <v>1.2192148256522799E-2</v>
      </c>
      <c r="Q696" s="3">
        <f t="shared" si="71"/>
        <v>1.846249960625</v>
      </c>
      <c r="R696" s="4">
        <f t="shared" si="76"/>
        <v>6.25E-2</v>
      </c>
      <c r="S696" s="3">
        <f t="shared" si="72"/>
        <v>29.53999937</v>
      </c>
      <c r="T696" s="4">
        <f t="shared" si="73"/>
        <v>1</v>
      </c>
      <c r="U696" s="3">
        <f t="shared" si="74"/>
        <v>0.22509753238539379</v>
      </c>
      <c r="V696" s="5">
        <f t="shared" si="75"/>
        <v>0.69262021213103364</v>
      </c>
    </row>
    <row r="697" spans="1:22" x14ac:dyDescent="0.3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t="s">
        <v>24</v>
      </c>
      <c r="G697" t="s">
        <v>23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  <c r="P697" s="2">
        <f t="shared" si="70"/>
        <v>1.443058233959096E-2</v>
      </c>
      <c r="Q697" s="3">
        <f t="shared" si="71"/>
        <v>1.7204545359090908</v>
      </c>
      <c r="R697" s="4">
        <f t="shared" si="76"/>
        <v>4.5454545454545456E-2</v>
      </c>
      <c r="S697" s="3">
        <f t="shared" si="72"/>
        <v>37.849999789999998</v>
      </c>
      <c r="T697" s="4">
        <f t="shared" si="73"/>
        <v>1</v>
      </c>
      <c r="U697" s="3">
        <f t="shared" si="74"/>
        <v>0.24827160841958884</v>
      </c>
      <c r="V697" s="5">
        <f t="shared" si="75"/>
        <v>0.32100397034110534</v>
      </c>
    </row>
    <row r="698" spans="1:22" x14ac:dyDescent="0.3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t="s">
        <v>24</v>
      </c>
      <c r="G698" t="s">
        <v>23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  <c r="P698" s="2">
        <f t="shared" si="70"/>
        <v>6.8991686501776528E-3</v>
      </c>
      <c r="Q698" s="3">
        <f t="shared" si="71"/>
        <v>1.1450000105</v>
      </c>
      <c r="R698" s="4">
        <f t="shared" si="76"/>
        <v>0</v>
      </c>
      <c r="S698" s="3">
        <f t="shared" si="72"/>
        <v>0</v>
      </c>
      <c r="T698" s="4">
        <f t="shared" si="73"/>
        <v>0</v>
      </c>
      <c r="U698" s="3">
        <f t="shared" si="74"/>
        <v>7.8995481768946843E-2</v>
      </c>
      <c r="V698" s="5">
        <f t="shared" si="75"/>
        <v>-1</v>
      </c>
    </row>
    <row r="699" spans="1:22" x14ac:dyDescent="0.3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t="s">
        <v>24</v>
      </c>
      <c r="G699" t="s">
        <v>23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  <c r="P699" s="2">
        <f t="shared" si="70"/>
        <v>1.8692054630645001E-2</v>
      </c>
      <c r="Q699" s="3">
        <f t="shared" si="71"/>
        <v>1.6126666866666668</v>
      </c>
      <c r="R699" s="4">
        <f t="shared" si="76"/>
        <v>6.6666666666666666E-2</v>
      </c>
      <c r="S699" s="3">
        <f t="shared" si="72"/>
        <v>24.190000300000001</v>
      </c>
      <c r="T699" s="4">
        <f t="shared" si="73"/>
        <v>1</v>
      </c>
      <c r="U699" s="3">
        <f t="shared" si="74"/>
        <v>0.30144053808194593</v>
      </c>
      <c r="V699" s="5">
        <f t="shared" si="75"/>
        <v>1.06696979660641</v>
      </c>
    </row>
    <row r="700" spans="1:22" x14ac:dyDescent="0.3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t="s">
        <v>24</v>
      </c>
      <c r="G700" t="s">
        <v>23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  <c r="P700" s="2">
        <f t="shared" si="70"/>
        <v>1.2960082944530845E-2</v>
      </c>
      <c r="Q700" s="3">
        <f t="shared" si="71"/>
        <v>1.7039999961999999</v>
      </c>
      <c r="R700" s="4">
        <f t="shared" si="76"/>
        <v>0</v>
      </c>
      <c r="S700" s="3">
        <f t="shared" si="72"/>
        <v>0</v>
      </c>
      <c r="T700" s="4">
        <f t="shared" si="73"/>
        <v>0</v>
      </c>
      <c r="U700" s="3">
        <f t="shared" si="74"/>
        <v>0.22083981288232246</v>
      </c>
      <c r="V700" s="5">
        <f t="shared" si="75"/>
        <v>-1</v>
      </c>
    </row>
    <row r="701" spans="1:22" x14ac:dyDescent="0.3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t="s">
        <v>25</v>
      </c>
      <c r="G701" t="s">
        <v>23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  <c r="P701" s="2">
        <f t="shared" si="70"/>
        <v>1.4639851606603057E-2</v>
      </c>
      <c r="Q701" s="3">
        <f t="shared" si="71"/>
        <v>1.7951648351648353</v>
      </c>
      <c r="R701" s="4">
        <f t="shared" si="76"/>
        <v>1.098901098901099E-2</v>
      </c>
      <c r="S701" s="3">
        <f t="shared" si="72"/>
        <v>163.36000000000001</v>
      </c>
      <c r="T701" s="4">
        <f t="shared" si="73"/>
        <v>0.2</v>
      </c>
      <c r="U701" s="3">
        <f t="shared" si="74"/>
        <v>0.26280946796205223</v>
      </c>
      <c r="V701" s="5">
        <f t="shared" si="75"/>
        <v>-0.69392752203721841</v>
      </c>
    </row>
    <row r="702" spans="1:22" x14ac:dyDescent="0.3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t="s">
        <v>25</v>
      </c>
      <c r="G702" t="s">
        <v>23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  <c r="P702" s="2">
        <f t="shared" si="70"/>
        <v>1.4371314855548325E-2</v>
      </c>
      <c r="Q702" s="3">
        <f t="shared" si="71"/>
        <v>1.6150000013888888</v>
      </c>
      <c r="R702" s="4">
        <f t="shared" si="76"/>
        <v>2.7777777777777776E-2</v>
      </c>
      <c r="S702" s="3">
        <f t="shared" si="72"/>
        <v>58.140000049999998</v>
      </c>
      <c r="T702" s="4">
        <f t="shared" si="73"/>
        <v>0.33333333333333331</v>
      </c>
      <c r="U702" s="3">
        <f t="shared" si="74"/>
        <v>0.23209673511670703</v>
      </c>
      <c r="V702" s="5">
        <f t="shared" si="75"/>
        <v>-0.14000688068454856</v>
      </c>
    </row>
    <row r="703" spans="1:22" x14ac:dyDescent="0.3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t="s">
        <v>25</v>
      </c>
      <c r="G703" t="s">
        <v>23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  <c r="P703" s="2">
        <f t="shared" si="70"/>
        <v>1.367396704573942E-2</v>
      </c>
      <c r="Q703" s="3">
        <f t="shared" si="71"/>
        <v>1.6283333233333335</v>
      </c>
      <c r="R703" s="4">
        <f t="shared" si="76"/>
        <v>5.5555555555555552E-2</v>
      </c>
      <c r="S703" s="3">
        <f t="shared" si="72"/>
        <v>29.309999820000002</v>
      </c>
      <c r="T703" s="4">
        <f t="shared" si="73"/>
        <v>0.5</v>
      </c>
      <c r="U703" s="3">
        <f t="shared" si="74"/>
        <v>0.22265776202739351</v>
      </c>
      <c r="V703" s="5">
        <f t="shared" si="75"/>
        <v>0.70590243285781085</v>
      </c>
    </row>
    <row r="704" spans="1:22" x14ac:dyDescent="0.3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t="s">
        <v>25</v>
      </c>
      <c r="G704" t="s">
        <v>23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  <c r="P704" s="2">
        <f t="shared" si="70"/>
        <v>1.4876685215808958E-2</v>
      </c>
      <c r="Q704" s="3">
        <f t="shared" si="71"/>
        <v>1.6860869507246377</v>
      </c>
      <c r="R704" s="4">
        <f t="shared" si="76"/>
        <v>2.8985507246376812E-2</v>
      </c>
      <c r="S704" s="3">
        <f t="shared" si="72"/>
        <v>58.169999799999999</v>
      </c>
      <c r="T704" s="4">
        <f t="shared" si="73"/>
        <v>0.5</v>
      </c>
      <c r="U704" s="3">
        <f t="shared" si="74"/>
        <v>0.25083384812413623</v>
      </c>
      <c r="V704" s="5">
        <f t="shared" si="75"/>
        <v>-0.14045040103300807</v>
      </c>
    </row>
    <row r="705" spans="1:22" x14ac:dyDescent="0.3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t="s">
        <v>25</v>
      </c>
      <c r="G705" t="s">
        <v>23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  <c r="P705" s="2">
        <f t="shared" si="70"/>
        <v>1.6527598728791549E-2</v>
      </c>
      <c r="Q705" s="3">
        <f t="shared" si="71"/>
        <v>1.7399999754285713</v>
      </c>
      <c r="R705" s="4">
        <f t="shared" si="76"/>
        <v>2.8571428571428571E-2</v>
      </c>
      <c r="S705" s="3">
        <f t="shared" si="72"/>
        <v>60.899999139999998</v>
      </c>
      <c r="T705" s="4">
        <f t="shared" si="73"/>
        <v>0.2</v>
      </c>
      <c r="U705" s="3">
        <f t="shared" si="74"/>
        <v>0.28758021381990584</v>
      </c>
      <c r="V705" s="5">
        <f t="shared" si="75"/>
        <v>-0.17898192600861174</v>
      </c>
    </row>
    <row r="706" spans="1:22" x14ac:dyDescent="0.3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t="s">
        <v>25</v>
      </c>
      <c r="G706" t="s">
        <v>23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  <c r="P706" s="2">
        <f t="shared" ref="P706:P769" si="77">IF(K706&gt;0, (L706/K706)*100, 0)</f>
        <v>1.5933227520360825E-2</v>
      </c>
      <c r="Q706" s="3">
        <f t="shared" ref="Q706:Q769" si="78">IF(L706&gt;0, M706/L706, 0)</f>
        <v>1.5392308050000001</v>
      </c>
      <c r="R706" s="4">
        <f t="shared" si="76"/>
        <v>3.8461538461538464E-2</v>
      </c>
      <c r="S706" s="3">
        <f t="shared" ref="S706:S769" si="79">IF(O706&gt;0, M706/O706, 0)</f>
        <v>40.020000930000002</v>
      </c>
      <c r="T706" s="4">
        <f t="shared" ref="T706:T769" si="80">IF(N706&gt;0, O706/N706, 0)</f>
        <v>1</v>
      </c>
      <c r="U706" s="3">
        <f t="shared" ref="U706:U769" si="81">IF(K706&gt;0, (M706/K706)*1000, 0)</f>
        <v>0.24524914622413149</v>
      </c>
      <c r="V706" s="5">
        <f t="shared" ref="V706:V769" si="82">IF(M706&gt;0, ((O706*50)-M706)/M706, 0)</f>
        <v>0.24937528331036943</v>
      </c>
    </row>
    <row r="707" spans="1:22" x14ac:dyDescent="0.3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t="s">
        <v>25</v>
      </c>
      <c r="G707" t="s">
        <v>23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  <c r="P707" s="2">
        <f t="shared" si="77"/>
        <v>1.3155716248204512E-2</v>
      </c>
      <c r="Q707" s="3">
        <f t="shared" si="78"/>
        <v>1.7691836625850339</v>
      </c>
      <c r="R707" s="4">
        <f t="shared" ref="R707:R770" si="83">IF(L707&gt;0, O707/L707, 0)</f>
        <v>1.3605442176870748E-2</v>
      </c>
      <c r="S707" s="3">
        <f t="shared" si="79"/>
        <v>130.03499919999999</v>
      </c>
      <c r="T707" s="4">
        <f t="shared" si="80"/>
        <v>0.18181818181818182</v>
      </c>
      <c r="U707" s="3">
        <f t="shared" si="81"/>
        <v>0.232748782559279</v>
      </c>
      <c r="V707" s="5">
        <f t="shared" si="82"/>
        <v>-0.61548813544346137</v>
      </c>
    </row>
    <row r="708" spans="1:22" x14ac:dyDescent="0.3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t="s">
        <v>25</v>
      </c>
      <c r="G708" t="s">
        <v>23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  <c r="P708" s="2">
        <f t="shared" si="77"/>
        <v>1.2323851582352486E-2</v>
      </c>
      <c r="Q708" s="3">
        <f t="shared" si="78"/>
        <v>1.7535121956097561</v>
      </c>
      <c r="R708" s="4">
        <f t="shared" si="83"/>
        <v>2.9268292682926831E-2</v>
      </c>
      <c r="S708" s="3">
        <f t="shared" si="79"/>
        <v>59.91166668333333</v>
      </c>
      <c r="T708" s="4">
        <f t="shared" si="80"/>
        <v>0.35294117647058826</v>
      </c>
      <c r="U708" s="3">
        <f t="shared" si="81"/>
        <v>0.21610024046539672</v>
      </c>
      <c r="V708" s="5">
        <f t="shared" si="82"/>
        <v>-0.16543800618537344</v>
      </c>
    </row>
    <row r="709" spans="1:22" x14ac:dyDescent="0.3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t="s">
        <v>25</v>
      </c>
      <c r="G709" t="s">
        <v>23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  <c r="P709" s="2">
        <f t="shared" si="77"/>
        <v>1.1861666608090534E-2</v>
      </c>
      <c r="Q709" s="3">
        <f t="shared" si="78"/>
        <v>1.9575925851851852</v>
      </c>
      <c r="R709" s="4">
        <f t="shared" si="83"/>
        <v>3.7037037037037035E-2</v>
      </c>
      <c r="S709" s="3">
        <f t="shared" si="79"/>
        <v>52.854999800000002</v>
      </c>
      <c r="T709" s="4">
        <f t="shared" si="80"/>
        <v>0.4</v>
      </c>
      <c r="U709" s="3">
        <f t="shared" si="81"/>
        <v>0.23220310599936739</v>
      </c>
      <c r="V709" s="5">
        <f t="shared" si="82"/>
        <v>-5.4015699759779427E-2</v>
      </c>
    </row>
    <row r="710" spans="1:22" x14ac:dyDescent="0.3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t="s">
        <v>25</v>
      </c>
      <c r="G710" t="s">
        <v>23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  <c r="P710" s="2">
        <f t="shared" si="77"/>
        <v>7.9376628874571701E-3</v>
      </c>
      <c r="Q710" s="3">
        <f t="shared" si="78"/>
        <v>1.7766666816666667</v>
      </c>
      <c r="R710" s="4">
        <f t="shared" si="83"/>
        <v>0.16666666666666666</v>
      </c>
      <c r="S710" s="3">
        <f t="shared" si="79"/>
        <v>10.66000009</v>
      </c>
      <c r="T710" s="4">
        <f t="shared" si="80"/>
        <v>1</v>
      </c>
      <c r="U710" s="3">
        <f t="shared" si="81"/>
        <v>0.14102581182447183</v>
      </c>
      <c r="V710" s="5">
        <f t="shared" si="82"/>
        <v>3.6904314800995466</v>
      </c>
    </row>
    <row r="711" spans="1:22" x14ac:dyDescent="0.3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t="s">
        <v>25</v>
      </c>
      <c r="G711" t="s">
        <v>23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  <c r="P711" s="2">
        <f t="shared" si="77"/>
        <v>1.37985114435094E-2</v>
      </c>
      <c r="Q711" s="3">
        <f t="shared" si="78"/>
        <v>1.7475609865853656</v>
      </c>
      <c r="R711" s="4">
        <f t="shared" si="83"/>
        <v>2.4390243902439025E-2</v>
      </c>
      <c r="S711" s="3">
        <f t="shared" si="79"/>
        <v>71.650000449999993</v>
      </c>
      <c r="T711" s="4">
        <f t="shared" si="80"/>
        <v>0.66666666666666663</v>
      </c>
      <c r="U711" s="3">
        <f t="shared" si="81"/>
        <v>0.24113740271628745</v>
      </c>
      <c r="V711" s="5">
        <f t="shared" si="82"/>
        <v>-0.30216329817203785</v>
      </c>
    </row>
    <row r="712" spans="1:22" x14ac:dyDescent="0.3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t="s">
        <v>25</v>
      </c>
      <c r="G712" t="s">
        <v>23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  <c r="P712" s="2">
        <f t="shared" si="77"/>
        <v>1.1101208128621769E-2</v>
      </c>
      <c r="Q712" s="3">
        <f t="shared" si="78"/>
        <v>1.8579999582857141</v>
      </c>
      <c r="R712" s="4">
        <f t="shared" si="83"/>
        <v>0</v>
      </c>
      <c r="S712" s="3">
        <f t="shared" si="79"/>
        <v>0</v>
      </c>
      <c r="T712" s="4">
        <f t="shared" si="80"/>
        <v>0</v>
      </c>
      <c r="U712" s="3">
        <f t="shared" si="81"/>
        <v>0.20626044239900279</v>
      </c>
      <c r="V712" s="5">
        <f t="shared" si="82"/>
        <v>-1</v>
      </c>
    </row>
    <row r="713" spans="1:22" x14ac:dyDescent="0.3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t="s">
        <v>25</v>
      </c>
      <c r="G713" t="s">
        <v>23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  <c r="P713" s="2">
        <f t="shared" si="77"/>
        <v>1.9534689205846101E-2</v>
      </c>
      <c r="Q713" s="3">
        <f t="shared" si="78"/>
        <v>1.655774643661972</v>
      </c>
      <c r="R713" s="4">
        <f t="shared" si="83"/>
        <v>1.4084507042253521E-2</v>
      </c>
      <c r="S713" s="3">
        <f t="shared" si="79"/>
        <v>117.55999970000001</v>
      </c>
      <c r="T713" s="4">
        <f t="shared" si="80"/>
        <v>0.14285714285714285</v>
      </c>
      <c r="U713" s="3">
        <f t="shared" si="81"/>
        <v>0.32345043058857192</v>
      </c>
      <c r="V713" s="5">
        <f t="shared" si="82"/>
        <v>-0.57468526601229653</v>
      </c>
    </row>
    <row r="714" spans="1:22" x14ac:dyDescent="0.3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t="s">
        <v>25</v>
      </c>
      <c r="G714" t="s">
        <v>23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  <c r="P714" s="2">
        <f t="shared" si="77"/>
        <v>1.8451739589004586E-2</v>
      </c>
      <c r="Q714" s="3">
        <f t="shared" si="78"/>
        <v>1.7707407419753087</v>
      </c>
      <c r="R714" s="4">
        <f t="shared" si="83"/>
        <v>1.2345679012345678E-2</v>
      </c>
      <c r="S714" s="3">
        <f t="shared" si="79"/>
        <v>143.4300001</v>
      </c>
      <c r="T714" s="4">
        <f t="shared" si="80"/>
        <v>0.33333333333333331</v>
      </c>
      <c r="U714" s="3">
        <f t="shared" si="81"/>
        <v>0.3267324705056916</v>
      </c>
      <c r="V714" s="5">
        <f t="shared" si="82"/>
        <v>-0.65139789468632925</v>
      </c>
    </row>
    <row r="715" spans="1:22" x14ac:dyDescent="0.3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t="s">
        <v>25</v>
      </c>
      <c r="G715" t="s">
        <v>23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  <c r="P715" s="2">
        <f t="shared" si="77"/>
        <v>1.1747292249136574E-2</v>
      </c>
      <c r="Q715" s="3">
        <f t="shared" si="78"/>
        <v>1.9319999694000001</v>
      </c>
      <c r="R715" s="4">
        <f t="shared" si="83"/>
        <v>0.2</v>
      </c>
      <c r="S715" s="3">
        <f t="shared" si="79"/>
        <v>9.6599998469999999</v>
      </c>
      <c r="T715" s="4">
        <f t="shared" si="80"/>
        <v>1</v>
      </c>
      <c r="U715" s="3">
        <f t="shared" si="81"/>
        <v>0.22695768265864719</v>
      </c>
      <c r="V715" s="5">
        <f t="shared" si="82"/>
        <v>4.1759835188328651</v>
      </c>
    </row>
    <row r="716" spans="1:22" x14ac:dyDescent="0.3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t="s">
        <v>25</v>
      </c>
      <c r="G716" t="s">
        <v>23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  <c r="P716" s="2">
        <f t="shared" si="77"/>
        <v>1.8795343766837495E-2</v>
      </c>
      <c r="Q716" s="3">
        <f t="shared" si="78"/>
        <v>1.6639999933333334</v>
      </c>
      <c r="R716" s="4">
        <f t="shared" si="83"/>
        <v>0.04</v>
      </c>
      <c r="S716" s="3">
        <f t="shared" si="79"/>
        <v>41.599999833333335</v>
      </c>
      <c r="T716" s="4">
        <f t="shared" si="80"/>
        <v>0.42857142857142855</v>
      </c>
      <c r="U716" s="3">
        <f t="shared" si="81"/>
        <v>0.31275451902715301</v>
      </c>
      <c r="V716" s="5">
        <f t="shared" si="82"/>
        <v>0.2019230817384739</v>
      </c>
    </row>
    <row r="717" spans="1:22" x14ac:dyDescent="0.3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t="s">
        <v>25</v>
      </c>
      <c r="G717" t="s">
        <v>23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  <c r="P717" s="2">
        <f t="shared" si="77"/>
        <v>1.9364579230668241E-2</v>
      </c>
      <c r="Q717" s="3">
        <f t="shared" si="78"/>
        <v>1.6703389862711866</v>
      </c>
      <c r="R717" s="4">
        <f t="shared" si="83"/>
        <v>0</v>
      </c>
      <c r="S717" s="3">
        <f t="shared" si="79"/>
        <v>0</v>
      </c>
      <c r="T717" s="4">
        <f t="shared" si="80"/>
        <v>0</v>
      </c>
      <c r="U717" s="3">
        <f t="shared" si="81"/>
        <v>0.32345411641722466</v>
      </c>
      <c r="V717" s="5">
        <f t="shared" si="82"/>
        <v>-1</v>
      </c>
    </row>
    <row r="718" spans="1:22" x14ac:dyDescent="0.3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t="s">
        <v>25</v>
      </c>
      <c r="G718" t="s">
        <v>23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  <c r="P718" s="2">
        <f t="shared" si="77"/>
        <v>1.6358929130273977E-2</v>
      </c>
      <c r="Q718" s="3">
        <f t="shared" si="78"/>
        <v>1.7726087052173913</v>
      </c>
      <c r="R718" s="4">
        <f t="shared" si="83"/>
        <v>0</v>
      </c>
      <c r="S718" s="3">
        <f t="shared" si="79"/>
        <v>0</v>
      </c>
      <c r="T718" s="4">
        <f t="shared" si="80"/>
        <v>0</v>
      </c>
      <c r="U718" s="3">
        <f t="shared" si="81"/>
        <v>0.28997980184358019</v>
      </c>
      <c r="V718" s="5">
        <f t="shared" si="82"/>
        <v>-1</v>
      </c>
    </row>
    <row r="719" spans="1:22" x14ac:dyDescent="0.3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t="s">
        <v>25</v>
      </c>
      <c r="G719" t="s">
        <v>23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  <c r="P719" s="2">
        <f t="shared" si="77"/>
        <v>1.8182396712622673E-2</v>
      </c>
      <c r="Q719" s="3">
        <f t="shared" si="78"/>
        <v>1.6859999987500001</v>
      </c>
      <c r="R719" s="4">
        <f t="shared" si="83"/>
        <v>3.7499999999999999E-2</v>
      </c>
      <c r="S719" s="3">
        <f t="shared" si="79"/>
        <v>44.959999966666665</v>
      </c>
      <c r="T719" s="4">
        <f t="shared" si="80"/>
        <v>0.75</v>
      </c>
      <c r="U719" s="3">
        <f t="shared" si="81"/>
        <v>0.30655520834753835</v>
      </c>
      <c r="V719" s="5">
        <f t="shared" si="82"/>
        <v>0.11209964495262428</v>
      </c>
    </row>
    <row r="720" spans="1:22" x14ac:dyDescent="0.3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t="s">
        <v>25</v>
      </c>
      <c r="G720" t="s">
        <v>23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  <c r="P720" s="2">
        <f t="shared" si="77"/>
        <v>1.4511299025104547E-2</v>
      </c>
      <c r="Q720" s="3">
        <f t="shared" si="78"/>
        <v>1.7599999909090907</v>
      </c>
      <c r="R720" s="4">
        <f t="shared" si="83"/>
        <v>0.18181818181818182</v>
      </c>
      <c r="S720" s="3">
        <f t="shared" si="79"/>
        <v>9.6799999499999991</v>
      </c>
      <c r="T720" s="4">
        <f t="shared" si="80"/>
        <v>1</v>
      </c>
      <c r="U720" s="3">
        <f t="shared" si="81"/>
        <v>0.25539886152263103</v>
      </c>
      <c r="V720" s="5">
        <f t="shared" si="82"/>
        <v>4.165289282878561</v>
      </c>
    </row>
    <row r="721" spans="1:22" x14ac:dyDescent="0.3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t="s">
        <v>25</v>
      </c>
      <c r="G721" t="s">
        <v>23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  <c r="P721" s="2">
        <f t="shared" si="77"/>
        <v>0</v>
      </c>
      <c r="Q721" s="3">
        <f t="shared" si="78"/>
        <v>0</v>
      </c>
      <c r="R721" s="4">
        <f t="shared" si="83"/>
        <v>0</v>
      </c>
      <c r="S721" s="3">
        <f t="shared" si="79"/>
        <v>0</v>
      </c>
      <c r="T721" s="4">
        <f t="shared" si="80"/>
        <v>0</v>
      </c>
      <c r="U721" s="3">
        <f t="shared" si="81"/>
        <v>0</v>
      </c>
      <c r="V721" s="5">
        <f t="shared" si="82"/>
        <v>0</v>
      </c>
    </row>
    <row r="722" spans="1:22" x14ac:dyDescent="0.3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t="s">
        <v>25</v>
      </c>
      <c r="G722" t="s">
        <v>23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  <c r="P722" s="2">
        <f t="shared" si="77"/>
        <v>1.8230828330707226E-2</v>
      </c>
      <c r="Q722" s="3">
        <f t="shared" si="78"/>
        <v>1.5360714410714285</v>
      </c>
      <c r="R722" s="4">
        <f t="shared" si="83"/>
        <v>0</v>
      </c>
      <c r="S722" s="3">
        <f t="shared" si="79"/>
        <v>0</v>
      </c>
      <c r="T722" s="4">
        <f t="shared" si="80"/>
        <v>0</v>
      </c>
      <c r="U722" s="3">
        <f t="shared" si="81"/>
        <v>0.28003854745875273</v>
      </c>
      <c r="V722" s="5">
        <f t="shared" si="82"/>
        <v>-1</v>
      </c>
    </row>
    <row r="723" spans="1:22" x14ac:dyDescent="0.3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t="s">
        <v>25</v>
      </c>
      <c r="G723" t="s">
        <v>23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  <c r="P723" s="2">
        <f t="shared" si="77"/>
        <v>1.7144595304593092E-2</v>
      </c>
      <c r="Q723" s="3">
        <f t="shared" si="78"/>
        <v>1.375161282580645</v>
      </c>
      <c r="R723" s="4">
        <f t="shared" si="83"/>
        <v>0</v>
      </c>
      <c r="S723" s="3">
        <f t="shared" si="79"/>
        <v>0</v>
      </c>
      <c r="T723" s="4">
        <f t="shared" si="80"/>
        <v>0</v>
      </c>
      <c r="U723" s="3">
        <f t="shared" si="81"/>
        <v>0.23576583668390341</v>
      </c>
      <c r="V723" s="5">
        <f t="shared" si="82"/>
        <v>-1</v>
      </c>
    </row>
    <row r="724" spans="1:22" x14ac:dyDescent="0.3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t="s">
        <v>25</v>
      </c>
      <c r="G724" t="s">
        <v>23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  <c r="P724" s="2">
        <f t="shared" si="77"/>
        <v>2.0144646461454602E-2</v>
      </c>
      <c r="Q724" s="3">
        <f t="shared" si="78"/>
        <v>1.4860784282352939</v>
      </c>
      <c r="R724" s="4">
        <f t="shared" si="83"/>
        <v>0</v>
      </c>
      <c r="S724" s="3">
        <f t="shared" si="79"/>
        <v>0</v>
      </c>
      <c r="T724" s="4">
        <f t="shared" si="80"/>
        <v>0</v>
      </c>
      <c r="U724" s="3">
        <f t="shared" si="81"/>
        <v>0.2993652455079413</v>
      </c>
      <c r="V724" s="5">
        <f t="shared" si="82"/>
        <v>-1</v>
      </c>
    </row>
    <row r="725" spans="1:22" x14ac:dyDescent="0.3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t="s">
        <v>25</v>
      </c>
      <c r="G725" t="s">
        <v>23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  <c r="P725" s="2">
        <f t="shared" si="77"/>
        <v>1.4512524308478216E-2</v>
      </c>
      <c r="Q725" s="3">
        <f t="shared" si="78"/>
        <v>1.5420000076</v>
      </c>
      <c r="R725" s="4">
        <f t="shared" si="83"/>
        <v>0.2</v>
      </c>
      <c r="S725" s="3">
        <f t="shared" si="79"/>
        <v>7.7100000380000004</v>
      </c>
      <c r="T725" s="4">
        <f t="shared" si="80"/>
        <v>1</v>
      </c>
      <c r="U725" s="3">
        <f t="shared" si="81"/>
        <v>0.22378312593968597</v>
      </c>
      <c r="V725" s="5">
        <f t="shared" si="82"/>
        <v>5.4850842741331762</v>
      </c>
    </row>
    <row r="726" spans="1:22" x14ac:dyDescent="0.3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t="s">
        <v>25</v>
      </c>
      <c r="G726" t="s">
        <v>23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  <c r="P726" s="2">
        <f t="shared" si="77"/>
        <v>1.5518913676042675E-2</v>
      </c>
      <c r="Q726" s="3">
        <f t="shared" si="78"/>
        <v>1.75499998</v>
      </c>
      <c r="R726" s="4">
        <f t="shared" si="83"/>
        <v>0</v>
      </c>
      <c r="S726" s="3">
        <f t="shared" si="79"/>
        <v>0</v>
      </c>
      <c r="T726" s="4">
        <f t="shared" si="80"/>
        <v>0</v>
      </c>
      <c r="U726" s="3">
        <f t="shared" si="81"/>
        <v>0.27235693191076626</v>
      </c>
      <c r="V726" s="5">
        <f t="shared" si="82"/>
        <v>-1</v>
      </c>
    </row>
    <row r="727" spans="1:22" x14ac:dyDescent="0.3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t="s">
        <v>25</v>
      </c>
      <c r="G727" t="s">
        <v>23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  <c r="P727" s="2">
        <f t="shared" si="77"/>
        <v>2.1814612154374739E-2</v>
      </c>
      <c r="Q727" s="3">
        <f t="shared" si="78"/>
        <v>1.6608333191666667</v>
      </c>
      <c r="R727" s="4">
        <f t="shared" si="83"/>
        <v>0</v>
      </c>
      <c r="S727" s="3">
        <f t="shared" si="79"/>
        <v>0</v>
      </c>
      <c r="T727" s="4">
        <f t="shared" si="80"/>
        <v>0</v>
      </c>
      <c r="U727" s="3">
        <f t="shared" si="81"/>
        <v>0.36230434710683707</v>
      </c>
      <c r="V727" s="5">
        <f t="shared" si="82"/>
        <v>-1</v>
      </c>
    </row>
    <row r="728" spans="1:22" x14ac:dyDescent="0.3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t="s">
        <v>25</v>
      </c>
      <c r="G728" t="s">
        <v>23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  <c r="P728" s="2">
        <f t="shared" si="77"/>
        <v>1.5263402721246657E-2</v>
      </c>
      <c r="Q728" s="3">
        <f t="shared" si="78"/>
        <v>1.7514285528571427</v>
      </c>
      <c r="R728" s="4">
        <f t="shared" si="83"/>
        <v>0</v>
      </c>
      <c r="S728" s="3">
        <f t="shared" si="79"/>
        <v>0</v>
      </c>
      <c r="T728" s="4">
        <f t="shared" si="80"/>
        <v>0</v>
      </c>
      <c r="U728" s="3">
        <f t="shared" si="81"/>
        <v>0.26732759339748807</v>
      </c>
      <c r="V728" s="5">
        <f t="shared" si="82"/>
        <v>-1</v>
      </c>
    </row>
    <row r="729" spans="1:22" x14ac:dyDescent="0.3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t="s">
        <v>25</v>
      </c>
      <c r="G729" t="s">
        <v>23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  <c r="P729" s="2">
        <f t="shared" si="77"/>
        <v>1.429762897652806E-2</v>
      </c>
      <c r="Q729" s="3">
        <f t="shared" si="78"/>
        <v>1.8289999843333333</v>
      </c>
      <c r="R729" s="4">
        <f t="shared" si="83"/>
        <v>0</v>
      </c>
      <c r="S729" s="3">
        <f t="shared" si="79"/>
        <v>0</v>
      </c>
      <c r="T729" s="4">
        <f t="shared" si="80"/>
        <v>0</v>
      </c>
      <c r="U729" s="3">
        <f t="shared" si="81"/>
        <v>0.26150363174073632</v>
      </c>
      <c r="V729" s="5">
        <f t="shared" si="82"/>
        <v>-1</v>
      </c>
    </row>
    <row r="730" spans="1:22" x14ac:dyDescent="0.3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t="s">
        <v>25</v>
      </c>
      <c r="G730" t="s">
        <v>23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  <c r="P730" s="2">
        <f t="shared" si="77"/>
        <v>2.384358607534573E-2</v>
      </c>
      <c r="Q730" s="3">
        <f t="shared" si="78"/>
        <v>1.3934920571428571</v>
      </c>
      <c r="R730" s="4">
        <f t="shared" si="83"/>
        <v>1.5873015873015872E-2</v>
      </c>
      <c r="S730" s="3">
        <f t="shared" si="79"/>
        <v>87.789999600000002</v>
      </c>
      <c r="T730" s="4">
        <f t="shared" si="80"/>
        <v>1</v>
      </c>
      <c r="U730" s="3">
        <f t="shared" si="81"/>
        <v>0.33225847809796305</v>
      </c>
      <c r="V730" s="5">
        <f t="shared" si="82"/>
        <v>-0.43045904741068025</v>
      </c>
    </row>
    <row r="731" spans="1:22" x14ac:dyDescent="0.3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t="s">
        <v>25</v>
      </c>
      <c r="G731" t="s">
        <v>23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  <c r="P731" s="2">
        <f t="shared" si="77"/>
        <v>1.6024613806807256E-2</v>
      </c>
      <c r="Q731" s="3">
        <f t="shared" si="78"/>
        <v>1.3460000038</v>
      </c>
      <c r="R731" s="4">
        <f t="shared" si="83"/>
        <v>0</v>
      </c>
      <c r="S731" s="3">
        <f t="shared" si="79"/>
        <v>0</v>
      </c>
      <c r="T731" s="4">
        <f t="shared" si="80"/>
        <v>0</v>
      </c>
      <c r="U731" s="3">
        <f t="shared" si="81"/>
        <v>0.215691302448561</v>
      </c>
      <c r="V731" s="5">
        <f t="shared" si="82"/>
        <v>-1</v>
      </c>
    </row>
    <row r="732" spans="1:22" x14ac:dyDescent="0.3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t="s">
        <v>25</v>
      </c>
      <c r="G732" t="s">
        <v>23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  <c r="P732" s="2">
        <f t="shared" si="77"/>
        <v>1.9368277922930065E-2</v>
      </c>
      <c r="Q732" s="3">
        <f t="shared" si="78"/>
        <v>1.5681632514285715</v>
      </c>
      <c r="R732" s="4">
        <f t="shared" si="83"/>
        <v>0</v>
      </c>
      <c r="S732" s="3">
        <f t="shared" si="79"/>
        <v>0</v>
      </c>
      <c r="T732" s="4">
        <f t="shared" si="80"/>
        <v>0</v>
      </c>
      <c r="U732" s="3">
        <f t="shared" si="81"/>
        <v>0.30372621682194229</v>
      </c>
      <c r="V732" s="5">
        <f t="shared" si="82"/>
        <v>-1</v>
      </c>
    </row>
    <row r="733" spans="1:22" x14ac:dyDescent="0.3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t="s">
        <v>25</v>
      </c>
      <c r="G733" t="s">
        <v>23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  <c r="P733" s="2">
        <f t="shared" si="77"/>
        <v>1.5995734470807786E-2</v>
      </c>
      <c r="Q733" s="3">
        <f t="shared" si="78"/>
        <v>1.7266666355555556</v>
      </c>
      <c r="R733" s="4">
        <f t="shared" si="83"/>
        <v>0</v>
      </c>
      <c r="S733" s="3">
        <f t="shared" si="79"/>
        <v>0</v>
      </c>
      <c r="T733" s="4">
        <f t="shared" si="80"/>
        <v>0</v>
      </c>
      <c r="U733" s="3">
        <f t="shared" si="81"/>
        <v>0.27619301021949705</v>
      </c>
      <c r="V733" s="5">
        <f t="shared" si="82"/>
        <v>-1</v>
      </c>
    </row>
    <row r="734" spans="1:22" x14ac:dyDescent="0.3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t="s">
        <v>25</v>
      </c>
      <c r="G734" t="s">
        <v>23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  <c r="P734" s="2">
        <f t="shared" si="77"/>
        <v>1.4300014300014301E-2</v>
      </c>
      <c r="Q734" s="3">
        <f t="shared" si="78"/>
        <v>1.6063636436363637</v>
      </c>
      <c r="R734" s="4">
        <f t="shared" si="83"/>
        <v>0.18181818181818182</v>
      </c>
      <c r="S734" s="3">
        <f t="shared" si="79"/>
        <v>8.8350000400000006</v>
      </c>
      <c r="T734" s="4">
        <f t="shared" si="80"/>
        <v>1</v>
      </c>
      <c r="U734" s="3">
        <f t="shared" si="81"/>
        <v>0.22971023075023075</v>
      </c>
      <c r="V734" s="5">
        <f t="shared" si="82"/>
        <v>4.6593095386109358</v>
      </c>
    </row>
    <row r="735" spans="1:22" x14ac:dyDescent="0.3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t="s">
        <v>25</v>
      </c>
      <c r="G735" t="s">
        <v>23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  <c r="P735" s="2">
        <f t="shared" si="77"/>
        <v>1.4331301473257792E-2</v>
      </c>
      <c r="Q735" s="3">
        <f t="shared" si="78"/>
        <v>1.6533333379999999</v>
      </c>
      <c r="R735" s="4">
        <f t="shared" si="83"/>
        <v>3.3333333333333333E-2</v>
      </c>
      <c r="S735" s="3">
        <f t="shared" si="79"/>
        <v>49.600000139999999</v>
      </c>
      <c r="T735" s="4">
        <f t="shared" si="80"/>
        <v>0.33333333333333331</v>
      </c>
      <c r="U735" s="3">
        <f t="shared" si="81"/>
        <v>0.23694418502665621</v>
      </c>
      <c r="V735" s="5">
        <f t="shared" si="82"/>
        <v>8.0645132836888976E-3</v>
      </c>
    </row>
    <row r="736" spans="1:22" x14ac:dyDescent="0.3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t="s">
        <v>25</v>
      </c>
      <c r="G736" t="s">
        <v>23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  <c r="P736" s="2">
        <f t="shared" si="77"/>
        <v>1.4479621101011706E-2</v>
      </c>
      <c r="Q736" s="3">
        <f t="shared" si="78"/>
        <v>1.7183870654838711</v>
      </c>
      <c r="R736" s="4">
        <f t="shared" si="83"/>
        <v>0</v>
      </c>
      <c r="S736" s="3">
        <f t="shared" si="79"/>
        <v>0</v>
      </c>
      <c r="T736" s="4">
        <f t="shared" si="80"/>
        <v>0</v>
      </c>
      <c r="U736" s="3">
        <f t="shared" si="81"/>
        <v>0.24881593613085842</v>
      </c>
      <c r="V736" s="5">
        <f t="shared" si="82"/>
        <v>-1</v>
      </c>
    </row>
    <row r="737" spans="1:22" x14ac:dyDescent="0.3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t="s">
        <v>25</v>
      </c>
      <c r="G737" t="s">
        <v>23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  <c r="P737" s="2">
        <f t="shared" si="77"/>
        <v>1.6153277500004753E-2</v>
      </c>
      <c r="Q737" s="3">
        <f t="shared" si="78"/>
        <v>1.4932941129411765</v>
      </c>
      <c r="R737" s="4">
        <f t="shared" si="83"/>
        <v>2.3529411764705882E-2</v>
      </c>
      <c r="S737" s="3">
        <f t="shared" si="79"/>
        <v>63.464999800000001</v>
      </c>
      <c r="T737" s="4">
        <f t="shared" si="80"/>
        <v>0.66666666666666663</v>
      </c>
      <c r="U737" s="3">
        <f t="shared" si="81"/>
        <v>0.24121594195462259</v>
      </c>
      <c r="V737" s="5">
        <f t="shared" si="82"/>
        <v>-0.21216418250110827</v>
      </c>
    </row>
    <row r="738" spans="1:22" x14ac:dyDescent="0.3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t="s">
        <v>25</v>
      </c>
      <c r="G738" t="s">
        <v>23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  <c r="P738" s="2">
        <f t="shared" si="77"/>
        <v>1.6191207364840522E-2</v>
      </c>
      <c r="Q738" s="3">
        <f t="shared" si="78"/>
        <v>1.4968333416666666</v>
      </c>
      <c r="R738" s="4">
        <f t="shared" si="83"/>
        <v>8.3333333333333332E-3</v>
      </c>
      <c r="S738" s="3">
        <f t="shared" si="79"/>
        <v>179.620001</v>
      </c>
      <c r="T738" s="4">
        <f t="shared" si="80"/>
        <v>0.25</v>
      </c>
      <c r="U738" s="3">
        <f t="shared" si="81"/>
        <v>0.24235539025532185</v>
      </c>
      <c r="V738" s="5">
        <f t="shared" si="82"/>
        <v>-0.72163456340254672</v>
      </c>
    </row>
    <row r="739" spans="1:22" x14ac:dyDescent="0.3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t="s">
        <v>25</v>
      </c>
      <c r="G739" t="s">
        <v>23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  <c r="P739" s="2">
        <f t="shared" si="77"/>
        <v>1.4465332384407529E-2</v>
      </c>
      <c r="Q739" s="3">
        <f t="shared" si="78"/>
        <v>1.5368000172</v>
      </c>
      <c r="R739" s="4">
        <f t="shared" si="83"/>
        <v>0</v>
      </c>
      <c r="S739" s="3">
        <f t="shared" si="79"/>
        <v>0</v>
      </c>
      <c r="T739" s="4">
        <f t="shared" si="80"/>
        <v>0</v>
      </c>
      <c r="U739" s="3">
        <f t="shared" si="81"/>
        <v>0.22230323057161208</v>
      </c>
      <c r="V739" s="5">
        <f t="shared" si="82"/>
        <v>-1</v>
      </c>
    </row>
    <row r="740" spans="1:22" x14ac:dyDescent="0.3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t="s">
        <v>25</v>
      </c>
      <c r="G740" t="s">
        <v>23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  <c r="P740" s="2">
        <f t="shared" si="77"/>
        <v>2.011933945031847E-2</v>
      </c>
      <c r="Q740" s="3">
        <f t="shared" si="78"/>
        <v>1.5421052605263157</v>
      </c>
      <c r="R740" s="4">
        <f t="shared" si="83"/>
        <v>2.6315789473684209E-2</v>
      </c>
      <c r="S740" s="3">
        <f t="shared" si="79"/>
        <v>58.5999999</v>
      </c>
      <c r="T740" s="4">
        <f t="shared" si="80"/>
        <v>1</v>
      </c>
      <c r="U740" s="3">
        <f t="shared" si="81"/>
        <v>0.31026139204650743</v>
      </c>
      <c r="V740" s="5">
        <f t="shared" si="82"/>
        <v>-0.14675767772484247</v>
      </c>
    </row>
    <row r="741" spans="1:22" x14ac:dyDescent="0.3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t="s">
        <v>25</v>
      </c>
      <c r="G741" t="s">
        <v>23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  <c r="P741" s="2">
        <f t="shared" si="77"/>
        <v>2.0304403619056902E-2</v>
      </c>
      <c r="Q741" s="3">
        <f t="shared" si="78"/>
        <v>1.5891999912000001</v>
      </c>
      <c r="R741" s="4">
        <f t="shared" si="83"/>
        <v>0.04</v>
      </c>
      <c r="S741" s="3">
        <f t="shared" si="79"/>
        <v>39.72999978</v>
      </c>
      <c r="T741" s="4">
        <f t="shared" si="80"/>
        <v>0.5</v>
      </c>
      <c r="U741" s="3">
        <f t="shared" si="81"/>
        <v>0.32267758052726475</v>
      </c>
      <c r="V741" s="5">
        <f t="shared" si="82"/>
        <v>0.25849484713991611</v>
      </c>
    </row>
    <row r="742" spans="1:22" x14ac:dyDescent="0.3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t="s">
        <v>25</v>
      </c>
      <c r="G742" t="s">
        <v>23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  <c r="P742" s="2">
        <f t="shared" si="77"/>
        <v>1.7996246497159165E-2</v>
      </c>
      <c r="Q742" s="3">
        <f t="shared" si="78"/>
        <v>1.3650000007142857</v>
      </c>
      <c r="R742" s="4">
        <f t="shared" si="83"/>
        <v>7.1428571428571425E-2</v>
      </c>
      <c r="S742" s="3">
        <f t="shared" si="79"/>
        <v>19.11000001</v>
      </c>
      <c r="T742" s="4">
        <f t="shared" si="80"/>
        <v>1</v>
      </c>
      <c r="U742" s="3">
        <f t="shared" si="81"/>
        <v>0.24564876481476719</v>
      </c>
      <c r="V742" s="5">
        <f t="shared" si="82"/>
        <v>1.6164311864906169</v>
      </c>
    </row>
    <row r="743" spans="1:22" x14ac:dyDescent="0.3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t="s">
        <v>25</v>
      </c>
      <c r="G743" t="s">
        <v>23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  <c r="P743" s="2">
        <f t="shared" si="77"/>
        <v>1.5892636411795866E-2</v>
      </c>
      <c r="Q743" s="3">
        <f t="shared" si="78"/>
        <v>1.7566666866666667</v>
      </c>
      <c r="R743" s="4">
        <f t="shared" si="83"/>
        <v>0.1111111111111111</v>
      </c>
      <c r="S743" s="3">
        <f t="shared" si="79"/>
        <v>15.810000179999999</v>
      </c>
      <c r="T743" s="4">
        <f t="shared" si="80"/>
        <v>1</v>
      </c>
      <c r="U743" s="3">
        <f t="shared" si="81"/>
        <v>0.27918064947907473</v>
      </c>
      <c r="V743" s="5">
        <f t="shared" si="82"/>
        <v>2.1625553087122102</v>
      </c>
    </row>
    <row r="744" spans="1:22" x14ac:dyDescent="0.3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t="s">
        <v>25</v>
      </c>
      <c r="G744" t="s">
        <v>23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  <c r="P744" s="2">
        <f t="shared" si="77"/>
        <v>2.120525690792428E-2</v>
      </c>
      <c r="Q744" s="3">
        <f t="shared" si="78"/>
        <v>1.6584706141176473</v>
      </c>
      <c r="R744" s="4">
        <f t="shared" si="83"/>
        <v>2.3529411764705882E-2</v>
      </c>
      <c r="S744" s="3">
        <f t="shared" si="79"/>
        <v>70.485001100000005</v>
      </c>
      <c r="T744" s="4">
        <f t="shared" si="80"/>
        <v>0.5</v>
      </c>
      <c r="U744" s="3">
        <f t="shared" si="81"/>
        <v>0.35168295446607661</v>
      </c>
      <c r="V744" s="5">
        <f t="shared" si="82"/>
        <v>-0.29062922295960641</v>
      </c>
    </row>
    <row r="745" spans="1:22" x14ac:dyDescent="0.3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t="s">
        <v>25</v>
      </c>
      <c r="G745" t="s">
        <v>23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  <c r="P745" s="2">
        <f t="shared" si="77"/>
        <v>1.7260226684310456E-2</v>
      </c>
      <c r="Q745" s="3">
        <f t="shared" si="78"/>
        <v>1.6877777841666668</v>
      </c>
      <c r="R745" s="4">
        <f t="shared" si="83"/>
        <v>2.7777777777777776E-2</v>
      </c>
      <c r="S745" s="3">
        <f t="shared" si="79"/>
        <v>60.760000230000003</v>
      </c>
      <c r="T745" s="4">
        <f t="shared" si="80"/>
        <v>0.5</v>
      </c>
      <c r="U745" s="3">
        <f t="shared" si="81"/>
        <v>0.29131427147459871</v>
      </c>
      <c r="V745" s="5">
        <f t="shared" si="82"/>
        <v>-0.17709019403010628</v>
      </c>
    </row>
    <row r="746" spans="1:22" x14ac:dyDescent="0.3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t="s">
        <v>25</v>
      </c>
      <c r="G746" t="s">
        <v>23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  <c r="P746" s="2">
        <f t="shared" si="77"/>
        <v>1.3558402820147787E-2</v>
      </c>
      <c r="Q746" s="3">
        <f t="shared" si="78"/>
        <v>1.68875001375</v>
      </c>
      <c r="R746" s="4">
        <f t="shared" si="83"/>
        <v>0</v>
      </c>
      <c r="S746" s="3">
        <f t="shared" si="79"/>
        <v>0</v>
      </c>
      <c r="T746" s="4">
        <f t="shared" si="80"/>
        <v>0</v>
      </c>
      <c r="U746" s="3">
        <f t="shared" si="81"/>
        <v>0.22896752948952612</v>
      </c>
      <c r="V746" s="5">
        <f t="shared" si="82"/>
        <v>-1</v>
      </c>
    </row>
    <row r="747" spans="1:22" x14ac:dyDescent="0.3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t="s">
        <v>25</v>
      </c>
      <c r="G747" t="s">
        <v>23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  <c r="P747" s="2">
        <f t="shared" si="77"/>
        <v>1.6305483228281861E-2</v>
      </c>
      <c r="Q747" s="3">
        <f t="shared" si="78"/>
        <v>1.7218750006250001</v>
      </c>
      <c r="R747" s="4">
        <f t="shared" si="83"/>
        <v>0</v>
      </c>
      <c r="S747" s="3">
        <f t="shared" si="79"/>
        <v>0</v>
      </c>
      <c r="T747" s="4">
        <f t="shared" si="80"/>
        <v>0</v>
      </c>
      <c r="U747" s="3">
        <f t="shared" si="81"/>
        <v>0.28076003943888755</v>
      </c>
      <c r="V747" s="5">
        <f t="shared" si="82"/>
        <v>-1</v>
      </c>
    </row>
    <row r="748" spans="1:22" x14ac:dyDescent="0.3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t="s">
        <v>25</v>
      </c>
      <c r="G748" t="s">
        <v>23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  <c r="P748" s="2">
        <f t="shared" si="77"/>
        <v>1.542674225770373E-2</v>
      </c>
      <c r="Q748" s="3">
        <f t="shared" si="78"/>
        <v>1.5787500137499999</v>
      </c>
      <c r="R748" s="4">
        <f t="shared" si="83"/>
        <v>0.125</v>
      </c>
      <c r="S748" s="3">
        <f t="shared" si="79"/>
        <v>12.630000109999999</v>
      </c>
      <c r="T748" s="4">
        <f t="shared" si="80"/>
        <v>1</v>
      </c>
      <c r="U748" s="3">
        <f t="shared" si="81"/>
        <v>0.24354969551467467</v>
      </c>
      <c r="V748" s="5">
        <f t="shared" si="82"/>
        <v>2.9588281523775857</v>
      </c>
    </row>
    <row r="749" spans="1:22" x14ac:dyDescent="0.3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t="s">
        <v>25</v>
      </c>
      <c r="G749" t="s">
        <v>23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  <c r="P749" s="2">
        <f t="shared" si="77"/>
        <v>1.7452379934749469E-2</v>
      </c>
      <c r="Q749" s="3">
        <f t="shared" si="78"/>
        <v>1.6604081683673468</v>
      </c>
      <c r="R749" s="4">
        <f t="shared" si="83"/>
        <v>2.0408163265306121E-2</v>
      </c>
      <c r="S749" s="3">
        <f t="shared" si="79"/>
        <v>81.360000249999999</v>
      </c>
      <c r="T749" s="4">
        <f t="shared" si="80"/>
        <v>0.5</v>
      </c>
      <c r="U749" s="3">
        <f t="shared" si="81"/>
        <v>0.28978074201108406</v>
      </c>
      <c r="V749" s="5">
        <f t="shared" si="82"/>
        <v>-0.38544739618532631</v>
      </c>
    </row>
    <row r="750" spans="1:22" x14ac:dyDescent="0.3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t="s">
        <v>25</v>
      </c>
      <c r="G750" t="s">
        <v>23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  <c r="P750" s="2">
        <f t="shared" si="77"/>
        <v>1.7279296261388626E-2</v>
      </c>
      <c r="Q750" s="3">
        <f t="shared" si="78"/>
        <v>1.4972727300000002</v>
      </c>
      <c r="R750" s="4">
        <f t="shared" si="83"/>
        <v>9.0909090909090912E-2</v>
      </c>
      <c r="S750" s="3">
        <f t="shared" si="79"/>
        <v>16.470000030000001</v>
      </c>
      <c r="T750" s="4">
        <f t="shared" si="80"/>
        <v>1</v>
      </c>
      <c r="U750" s="3">
        <f t="shared" si="81"/>
        <v>0.25871819085768144</v>
      </c>
      <c r="V750" s="5">
        <f t="shared" si="82"/>
        <v>2.0358227024241233</v>
      </c>
    </row>
    <row r="751" spans="1:22" x14ac:dyDescent="0.3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t="s">
        <v>25</v>
      </c>
      <c r="G751" t="s">
        <v>23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  <c r="P751" s="2">
        <f t="shared" si="77"/>
        <v>1.7385098225804977E-2</v>
      </c>
      <c r="Q751" s="3">
        <f t="shared" si="78"/>
        <v>1.6331578931578947</v>
      </c>
      <c r="R751" s="4">
        <f t="shared" si="83"/>
        <v>0</v>
      </c>
      <c r="S751" s="3">
        <f t="shared" si="79"/>
        <v>0</v>
      </c>
      <c r="T751" s="4">
        <f t="shared" si="80"/>
        <v>0</v>
      </c>
      <c r="U751" s="3">
        <f t="shared" si="81"/>
        <v>0.28392610390798706</v>
      </c>
      <c r="V751" s="5">
        <f t="shared" si="82"/>
        <v>-1</v>
      </c>
    </row>
    <row r="752" spans="1:22" x14ac:dyDescent="0.3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t="s">
        <v>25</v>
      </c>
      <c r="G752" t="s">
        <v>23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  <c r="P752" s="2">
        <f t="shared" si="77"/>
        <v>2.1226915729144556E-2</v>
      </c>
      <c r="Q752" s="3">
        <f t="shared" si="78"/>
        <v>1.5182499914999998</v>
      </c>
      <c r="R752" s="4">
        <f t="shared" si="83"/>
        <v>2.5000000000000001E-2</v>
      </c>
      <c r="S752" s="3">
        <f t="shared" si="79"/>
        <v>60.729999659999997</v>
      </c>
      <c r="T752" s="4">
        <f t="shared" si="80"/>
        <v>0.5</v>
      </c>
      <c r="U752" s="3">
        <f t="shared" si="81"/>
        <v>0.32227764625344935</v>
      </c>
      <c r="V752" s="5">
        <f t="shared" si="82"/>
        <v>-0.17668367726119624</v>
      </c>
    </row>
    <row r="753" spans="1:22" x14ac:dyDescent="0.3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t="s">
        <v>25</v>
      </c>
      <c r="G753" t="s">
        <v>23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  <c r="P753" s="2">
        <f t="shared" si="77"/>
        <v>2.0706272118063401E-2</v>
      </c>
      <c r="Q753" s="3">
        <f t="shared" si="78"/>
        <v>1.7006818488636364</v>
      </c>
      <c r="R753" s="4">
        <f t="shared" si="83"/>
        <v>2.2727272727272728E-2</v>
      </c>
      <c r="S753" s="3">
        <f t="shared" si="79"/>
        <v>74.830001350000003</v>
      </c>
      <c r="T753" s="4">
        <f t="shared" si="80"/>
        <v>0.5</v>
      </c>
      <c r="U753" s="3">
        <f t="shared" si="81"/>
        <v>0.35214781148821628</v>
      </c>
      <c r="V753" s="5">
        <f t="shared" si="82"/>
        <v>-0.33181880131023145</v>
      </c>
    </row>
    <row r="754" spans="1:22" x14ac:dyDescent="0.3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t="s">
        <v>25</v>
      </c>
      <c r="G754" t="s">
        <v>23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  <c r="P754" s="2">
        <f t="shared" si="77"/>
        <v>1.5349665377294775E-2</v>
      </c>
      <c r="Q754" s="3">
        <f t="shared" si="78"/>
        <v>1.4960000038000001</v>
      </c>
      <c r="R754" s="4">
        <f t="shared" si="83"/>
        <v>0</v>
      </c>
      <c r="S754" s="3">
        <f t="shared" si="79"/>
        <v>0</v>
      </c>
      <c r="T754" s="4">
        <f t="shared" si="80"/>
        <v>0</v>
      </c>
      <c r="U754" s="3">
        <f t="shared" si="81"/>
        <v>0.22963099462761713</v>
      </c>
      <c r="V754" s="5">
        <f t="shared" si="82"/>
        <v>-1</v>
      </c>
    </row>
    <row r="755" spans="1:22" x14ac:dyDescent="0.3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t="s">
        <v>25</v>
      </c>
      <c r="G755" t="s">
        <v>23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  <c r="P755" s="2">
        <f t="shared" si="77"/>
        <v>1.7885609860414479E-2</v>
      </c>
      <c r="Q755" s="3">
        <f t="shared" si="78"/>
        <v>1.5860869782608698</v>
      </c>
      <c r="R755" s="4">
        <f t="shared" si="83"/>
        <v>4.3478260869565216E-2</v>
      </c>
      <c r="S755" s="3">
        <f t="shared" si="79"/>
        <v>36.480000500000003</v>
      </c>
      <c r="T755" s="4">
        <f t="shared" si="80"/>
        <v>1</v>
      </c>
      <c r="U755" s="3">
        <f t="shared" si="81"/>
        <v>0.28368132897857617</v>
      </c>
      <c r="V755" s="5">
        <f t="shared" si="82"/>
        <v>0.37061401630189111</v>
      </c>
    </row>
    <row r="756" spans="1:22" x14ac:dyDescent="0.3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t="s">
        <v>25</v>
      </c>
      <c r="G756" t="s">
        <v>23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  <c r="P756" s="2">
        <f t="shared" si="77"/>
        <v>1.9815550253061091E-2</v>
      </c>
      <c r="Q756" s="3">
        <f t="shared" si="78"/>
        <v>1.4179166779166668</v>
      </c>
      <c r="R756" s="4">
        <f t="shared" si="83"/>
        <v>0</v>
      </c>
      <c r="S756" s="3">
        <f t="shared" si="79"/>
        <v>0</v>
      </c>
      <c r="T756" s="4">
        <f t="shared" si="80"/>
        <v>0</v>
      </c>
      <c r="U756" s="3">
        <f t="shared" si="81"/>
        <v>0.28096799185911148</v>
      </c>
      <c r="V756" s="5">
        <f t="shared" si="82"/>
        <v>-1</v>
      </c>
    </row>
    <row r="757" spans="1:22" x14ac:dyDescent="0.3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t="s">
        <v>25</v>
      </c>
      <c r="G757" t="s">
        <v>23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  <c r="P757" s="2">
        <f t="shared" si="77"/>
        <v>1.5081136514447728E-2</v>
      </c>
      <c r="Q757" s="3">
        <f t="shared" si="78"/>
        <v>1.575999999</v>
      </c>
      <c r="R757" s="4">
        <f t="shared" si="83"/>
        <v>0.2</v>
      </c>
      <c r="S757" s="3">
        <f t="shared" si="79"/>
        <v>7.8799999950000004</v>
      </c>
      <c r="T757" s="4">
        <f t="shared" si="80"/>
        <v>1</v>
      </c>
      <c r="U757" s="3">
        <f t="shared" si="81"/>
        <v>0.23767871131688487</v>
      </c>
      <c r="V757" s="5">
        <f t="shared" si="82"/>
        <v>5.3451776690007469</v>
      </c>
    </row>
    <row r="758" spans="1:22" x14ac:dyDescent="0.3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t="s">
        <v>25</v>
      </c>
      <c r="G758" t="s">
        <v>23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  <c r="P758" s="2">
        <f t="shared" si="77"/>
        <v>1.0232272587741738E-2</v>
      </c>
      <c r="Q758" s="3">
        <f t="shared" si="78"/>
        <v>1.460000038</v>
      </c>
      <c r="R758" s="4">
        <f t="shared" si="83"/>
        <v>0</v>
      </c>
      <c r="S758" s="3">
        <f t="shared" si="79"/>
        <v>0</v>
      </c>
      <c r="T758" s="4">
        <f t="shared" si="80"/>
        <v>0</v>
      </c>
      <c r="U758" s="3">
        <f t="shared" si="81"/>
        <v>0.14939118366929297</v>
      </c>
      <c r="V758" s="5">
        <f t="shared" si="82"/>
        <v>-1</v>
      </c>
    </row>
    <row r="759" spans="1:22" x14ac:dyDescent="0.3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t="s">
        <v>26</v>
      </c>
      <c r="G759" t="s">
        <v>23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  <c r="P759" s="2">
        <f t="shared" si="77"/>
        <v>1.6593540156367177E-2</v>
      </c>
      <c r="Q759" s="3">
        <f t="shared" si="78"/>
        <v>1.6045454597402597</v>
      </c>
      <c r="R759" s="4">
        <f t="shared" si="83"/>
        <v>1.2987012987012988E-2</v>
      </c>
      <c r="S759" s="3">
        <f t="shared" si="79"/>
        <v>123.5500004</v>
      </c>
      <c r="T759" s="4">
        <f t="shared" si="80"/>
        <v>0.33333333333333331</v>
      </c>
      <c r="U759" s="3">
        <f t="shared" si="81"/>
        <v>0.26625089518916639</v>
      </c>
      <c r="V759" s="5">
        <f t="shared" si="82"/>
        <v>-0.59530554562426374</v>
      </c>
    </row>
    <row r="760" spans="1:22" x14ac:dyDescent="0.3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t="s">
        <v>26</v>
      </c>
      <c r="G760" t="s">
        <v>23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  <c r="P760" s="2">
        <f t="shared" si="77"/>
        <v>1.5674636348436716E-2</v>
      </c>
      <c r="Q760" s="3">
        <f t="shared" si="78"/>
        <v>1.8100000160000003</v>
      </c>
      <c r="R760" s="4">
        <f t="shared" si="83"/>
        <v>1.3333333333333334E-2</v>
      </c>
      <c r="S760" s="3">
        <f t="shared" si="79"/>
        <v>135.75000120000001</v>
      </c>
      <c r="T760" s="4">
        <f t="shared" si="80"/>
        <v>0.33333333333333331</v>
      </c>
      <c r="U760" s="3">
        <f t="shared" si="81"/>
        <v>0.28371092041464641</v>
      </c>
      <c r="V760" s="5">
        <f t="shared" si="82"/>
        <v>-0.63167587802570135</v>
      </c>
    </row>
    <row r="761" spans="1:22" x14ac:dyDescent="0.3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t="s">
        <v>26</v>
      </c>
      <c r="G761" t="s">
        <v>23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  <c r="P761" s="2">
        <f t="shared" si="77"/>
        <v>1.5391360316409055E-2</v>
      </c>
      <c r="Q761" s="3">
        <f t="shared" si="78"/>
        <v>1.7709090924242425</v>
      </c>
      <c r="R761" s="4">
        <f t="shared" si="83"/>
        <v>3.0303030303030304E-2</v>
      </c>
      <c r="S761" s="3">
        <f t="shared" si="79"/>
        <v>58.440000050000002</v>
      </c>
      <c r="T761" s="4">
        <f t="shared" si="80"/>
        <v>0.5</v>
      </c>
      <c r="U761" s="3">
        <f t="shared" si="81"/>
        <v>0.27256699929106465</v>
      </c>
      <c r="V761" s="5">
        <f t="shared" si="82"/>
        <v>-0.14442162975323272</v>
      </c>
    </row>
    <row r="762" spans="1:22" x14ac:dyDescent="0.3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t="s">
        <v>26</v>
      </c>
      <c r="G762" t="s">
        <v>23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  <c r="P762" s="2">
        <f t="shared" si="77"/>
        <v>1.8768019634235925E-2</v>
      </c>
      <c r="Q762" s="3">
        <f t="shared" si="78"/>
        <v>1.6545701398190045</v>
      </c>
      <c r="R762" s="4">
        <f t="shared" si="83"/>
        <v>1.3574660633484163E-2</v>
      </c>
      <c r="S762" s="3">
        <f t="shared" si="79"/>
        <v>121.88666696666667</v>
      </c>
      <c r="T762" s="4">
        <f t="shared" si="80"/>
        <v>0.2</v>
      </c>
      <c r="U762" s="3">
        <f t="shared" si="81"/>
        <v>0.31053004870343554</v>
      </c>
      <c r="V762" s="5">
        <f t="shared" si="82"/>
        <v>-0.58978285940271136</v>
      </c>
    </row>
    <row r="763" spans="1:22" x14ac:dyDescent="0.3">
      <c r="A763">
        <v>1121594</v>
      </c>
      <c r="B763" s="1">
        <v>42973</v>
      </c>
      <c r="C763" s="1">
        <v>42973</v>
      </c>
      <c r="D763" s="6" t="s">
        <v>28</v>
      </c>
      <c r="E763" s="6" t="s">
        <v>28</v>
      </c>
      <c r="F763" s="7" t="s">
        <v>26</v>
      </c>
      <c r="G763" s="7" t="s">
        <v>23</v>
      </c>
      <c r="H763" s="7">
        <v>10</v>
      </c>
      <c r="I763" s="7">
        <v>14</v>
      </c>
      <c r="J763" s="7">
        <v>14</v>
      </c>
      <c r="K763" s="7">
        <v>426500</v>
      </c>
      <c r="L763" s="7">
        <v>72</v>
      </c>
      <c r="M763" s="7">
        <v>128.27999879999999</v>
      </c>
      <c r="N763" s="7">
        <v>4</v>
      </c>
      <c r="O763" s="7">
        <v>1</v>
      </c>
      <c r="P763" s="2">
        <f t="shared" si="77"/>
        <v>1.6881594372801876E-2</v>
      </c>
      <c r="Q763" s="3">
        <f t="shared" si="78"/>
        <v>1.7816666499999998</v>
      </c>
      <c r="R763" s="4">
        <f t="shared" si="83"/>
        <v>1.3888888888888888E-2</v>
      </c>
      <c r="S763" s="3">
        <f t="shared" si="79"/>
        <v>128.27999879999999</v>
      </c>
      <c r="T763" s="4">
        <f t="shared" si="80"/>
        <v>0.25</v>
      </c>
      <c r="U763" s="3">
        <f t="shared" si="81"/>
        <v>0.30077373692848763</v>
      </c>
      <c r="V763" s="5">
        <f t="shared" si="82"/>
        <v>-0.61022762341965342</v>
      </c>
    </row>
    <row r="764" spans="1:22" x14ac:dyDescent="0.3">
      <c r="A764">
        <v>1121597</v>
      </c>
      <c r="B764" s="1">
        <v>42977</v>
      </c>
      <c r="C764" s="1">
        <v>42977</v>
      </c>
      <c r="D764" s="6" t="s">
        <v>28</v>
      </c>
      <c r="E764" s="6" t="s">
        <v>28</v>
      </c>
      <c r="F764" s="8" t="s">
        <v>26</v>
      </c>
      <c r="G764" s="8" t="s">
        <v>23</v>
      </c>
      <c r="H764" s="8">
        <v>15</v>
      </c>
      <c r="I764" s="8">
        <v>21</v>
      </c>
      <c r="J764" s="8">
        <v>19</v>
      </c>
      <c r="K764" s="8">
        <v>54237</v>
      </c>
      <c r="L764" s="8">
        <v>7</v>
      </c>
      <c r="M764" s="8">
        <v>10.779999849999999</v>
      </c>
      <c r="N764" s="8">
        <v>2</v>
      </c>
      <c r="O764" s="8">
        <v>1</v>
      </c>
      <c r="P764" s="2">
        <f t="shared" si="77"/>
        <v>1.2906318564817377E-2</v>
      </c>
      <c r="Q764" s="3">
        <f t="shared" si="78"/>
        <v>1.5399999785714285</v>
      </c>
      <c r="R764" s="4">
        <f t="shared" si="83"/>
        <v>0.14285714285714285</v>
      </c>
      <c r="S764" s="3">
        <f t="shared" si="79"/>
        <v>10.779999849999999</v>
      </c>
      <c r="T764" s="4">
        <f t="shared" si="80"/>
        <v>0.5</v>
      </c>
      <c r="U764" s="3">
        <f t="shared" si="81"/>
        <v>0.19875730313254789</v>
      </c>
      <c r="V764" s="5">
        <f t="shared" si="82"/>
        <v>3.6382189884724356</v>
      </c>
    </row>
    <row r="765" spans="1:22" x14ac:dyDescent="0.3">
      <c r="A765">
        <v>1121598</v>
      </c>
      <c r="B765" s="1">
        <v>42977</v>
      </c>
      <c r="C765" s="1">
        <v>42977</v>
      </c>
      <c r="D765" s="6" t="s">
        <v>28</v>
      </c>
      <c r="E765" s="6" t="s">
        <v>28</v>
      </c>
      <c r="F765" s="7" t="s">
        <v>26</v>
      </c>
      <c r="G765" s="7" t="s">
        <v>23</v>
      </c>
      <c r="H765" s="7">
        <v>15</v>
      </c>
      <c r="I765" s="7">
        <v>19</v>
      </c>
      <c r="J765" s="7">
        <v>18</v>
      </c>
      <c r="K765" s="7">
        <v>506916</v>
      </c>
      <c r="L765" s="7">
        <v>89</v>
      </c>
      <c r="M765" s="7">
        <v>133.69999859999999</v>
      </c>
      <c r="N765" s="7">
        <v>2</v>
      </c>
      <c r="O765" s="7">
        <v>2</v>
      </c>
      <c r="P765" s="2">
        <f t="shared" si="77"/>
        <v>1.7557149508005271E-2</v>
      </c>
      <c r="Q765" s="3">
        <f t="shared" si="78"/>
        <v>1.5022471752808988</v>
      </c>
      <c r="R765" s="4">
        <f t="shared" si="83"/>
        <v>2.247191011235955E-2</v>
      </c>
      <c r="S765" s="3">
        <f t="shared" si="79"/>
        <v>66.849999299999993</v>
      </c>
      <c r="T765" s="4">
        <f t="shared" si="80"/>
        <v>1</v>
      </c>
      <c r="U765" s="3">
        <f t="shared" si="81"/>
        <v>0.2637517825438534</v>
      </c>
      <c r="V765" s="5">
        <f t="shared" si="82"/>
        <v>-0.25205683584801464</v>
      </c>
    </row>
    <row r="766" spans="1:22" x14ac:dyDescent="0.3">
      <c r="A766">
        <v>1121599</v>
      </c>
      <c r="B766" s="1">
        <v>42977</v>
      </c>
      <c r="C766" s="1">
        <v>42977</v>
      </c>
      <c r="D766" s="6" t="s">
        <v>28</v>
      </c>
      <c r="E766" s="6" t="s">
        <v>28</v>
      </c>
      <c r="F766" s="8" t="s">
        <v>26</v>
      </c>
      <c r="G766" s="8" t="s">
        <v>23</v>
      </c>
      <c r="H766" s="8">
        <v>15</v>
      </c>
      <c r="I766" s="8">
        <v>17</v>
      </c>
      <c r="J766" s="8">
        <v>18</v>
      </c>
      <c r="K766" s="8">
        <v>250960</v>
      </c>
      <c r="L766" s="8">
        <v>42</v>
      </c>
      <c r="M766" s="8">
        <v>64.879999519999998</v>
      </c>
      <c r="N766" s="8">
        <v>2</v>
      </c>
      <c r="O766" s="8">
        <v>0</v>
      </c>
      <c r="P766" s="2">
        <f t="shared" si="77"/>
        <v>1.673573477845075E-2</v>
      </c>
      <c r="Q766" s="3">
        <f t="shared" si="78"/>
        <v>1.5447618933333334</v>
      </c>
      <c r="R766" s="4">
        <f t="shared" si="83"/>
        <v>0</v>
      </c>
      <c r="S766" s="3">
        <f t="shared" si="79"/>
        <v>0</v>
      </c>
      <c r="T766" s="4">
        <f t="shared" si="80"/>
        <v>0</v>
      </c>
      <c r="U766" s="3">
        <f t="shared" si="81"/>
        <v>0.25852725342684091</v>
      </c>
      <c r="V766" s="5">
        <f t="shared" si="82"/>
        <v>-1</v>
      </c>
    </row>
    <row r="767" spans="1:22" x14ac:dyDescent="0.3">
      <c r="A767">
        <v>1121601</v>
      </c>
      <c r="B767" s="1">
        <v>42977</v>
      </c>
      <c r="C767" s="1">
        <v>42977</v>
      </c>
      <c r="D767" s="6" t="s">
        <v>28</v>
      </c>
      <c r="E767" s="6" t="s">
        <v>28</v>
      </c>
      <c r="F767" s="7" t="s">
        <v>26</v>
      </c>
      <c r="G767" s="7" t="s">
        <v>23</v>
      </c>
      <c r="H767" s="7">
        <v>16</v>
      </c>
      <c r="I767" s="7">
        <v>20</v>
      </c>
      <c r="J767" s="7">
        <v>18</v>
      </c>
      <c r="K767" s="7">
        <v>2286228</v>
      </c>
      <c r="L767" s="7">
        <v>353</v>
      </c>
      <c r="M767" s="7">
        <v>603.38000199999999</v>
      </c>
      <c r="N767" s="7">
        <v>16</v>
      </c>
      <c r="O767" s="7">
        <v>7</v>
      </c>
      <c r="P767" s="2">
        <f t="shared" si="77"/>
        <v>1.5440279797115599E-2</v>
      </c>
      <c r="Q767" s="3">
        <f t="shared" si="78"/>
        <v>1.7092917903682718</v>
      </c>
      <c r="R767" s="4">
        <f t="shared" si="83"/>
        <v>1.9830028328611898E-2</v>
      </c>
      <c r="S767" s="3">
        <f t="shared" si="79"/>
        <v>86.197143142857144</v>
      </c>
      <c r="T767" s="4">
        <f t="shared" si="80"/>
        <v>0.4375</v>
      </c>
      <c r="U767" s="3">
        <f t="shared" si="81"/>
        <v>0.26391943498198783</v>
      </c>
      <c r="V767" s="5">
        <f t="shared" si="82"/>
        <v>-0.41993437163998021</v>
      </c>
    </row>
    <row r="768" spans="1:22" x14ac:dyDescent="0.3">
      <c r="A768">
        <v>1121602</v>
      </c>
      <c r="B768" s="1">
        <v>42977</v>
      </c>
      <c r="C768" s="1">
        <v>42977</v>
      </c>
      <c r="D768" s="6" t="s">
        <v>28</v>
      </c>
      <c r="E768" s="6" t="s">
        <v>28</v>
      </c>
      <c r="F768" s="8" t="s">
        <v>26</v>
      </c>
      <c r="G768" s="8" t="s">
        <v>23</v>
      </c>
      <c r="H768" s="8">
        <v>16</v>
      </c>
      <c r="I768" s="8">
        <v>21</v>
      </c>
      <c r="J768" s="8">
        <v>20</v>
      </c>
      <c r="K768" s="8">
        <v>915451</v>
      </c>
      <c r="L768" s="8">
        <v>125</v>
      </c>
      <c r="M768" s="8">
        <v>220.559999</v>
      </c>
      <c r="N768" s="8">
        <v>6</v>
      </c>
      <c r="O768" s="8">
        <v>1</v>
      </c>
      <c r="P768" s="2">
        <f t="shared" si="77"/>
        <v>1.3654471948799008E-2</v>
      </c>
      <c r="Q768" s="3">
        <f t="shared" si="78"/>
        <v>1.7644799920000001</v>
      </c>
      <c r="R768" s="4">
        <f t="shared" si="83"/>
        <v>8.0000000000000002E-3</v>
      </c>
      <c r="S768" s="3">
        <f t="shared" si="79"/>
        <v>220.559999</v>
      </c>
      <c r="T768" s="4">
        <f t="shared" si="80"/>
        <v>0.16666666666666666</v>
      </c>
      <c r="U768" s="3">
        <f t="shared" si="81"/>
        <v>0.24093042554981098</v>
      </c>
      <c r="V768" s="5">
        <f t="shared" si="82"/>
        <v>-0.77330431525799925</v>
      </c>
    </row>
    <row r="769" spans="1:22" x14ac:dyDescent="0.3">
      <c r="A769">
        <v>1121603</v>
      </c>
      <c r="B769" s="1">
        <v>42977</v>
      </c>
      <c r="C769" s="1">
        <v>42977</v>
      </c>
      <c r="D769" s="6" t="s">
        <v>28</v>
      </c>
      <c r="E769" s="6" t="s">
        <v>28</v>
      </c>
      <c r="F769" s="7" t="s">
        <v>26</v>
      </c>
      <c r="G769" s="7" t="s">
        <v>23</v>
      </c>
      <c r="H769" s="7">
        <v>16</v>
      </c>
      <c r="I769" s="7">
        <v>21</v>
      </c>
      <c r="J769" s="7">
        <v>17</v>
      </c>
      <c r="K769" s="7">
        <v>159478</v>
      </c>
      <c r="L769" s="7">
        <v>20</v>
      </c>
      <c r="M769" s="7">
        <v>33.899999979999997</v>
      </c>
      <c r="N769" s="7">
        <v>3</v>
      </c>
      <c r="O769" s="7">
        <v>1</v>
      </c>
      <c r="P769" s="2">
        <f t="shared" si="77"/>
        <v>1.2540914734320721E-2</v>
      </c>
      <c r="Q769" s="3">
        <f t="shared" si="78"/>
        <v>1.6949999989999998</v>
      </c>
      <c r="R769" s="4">
        <f t="shared" si="83"/>
        <v>0.05</v>
      </c>
      <c r="S769" s="3">
        <f t="shared" si="79"/>
        <v>33.899999979999997</v>
      </c>
      <c r="T769" s="4">
        <f t="shared" si="80"/>
        <v>0.33333333333333331</v>
      </c>
      <c r="U769" s="3">
        <f t="shared" si="81"/>
        <v>0.21256850462132706</v>
      </c>
      <c r="V769" s="5">
        <f t="shared" si="82"/>
        <v>0.47492625455747878</v>
      </c>
    </row>
    <row r="770" spans="1:22" x14ac:dyDescent="0.3">
      <c r="A770">
        <v>1121605</v>
      </c>
      <c r="B770" s="1">
        <v>42977</v>
      </c>
      <c r="C770" s="1">
        <v>42977</v>
      </c>
      <c r="D770" s="6" t="s">
        <v>28</v>
      </c>
      <c r="E770" s="6" t="s">
        <v>28</v>
      </c>
      <c r="F770" s="8" t="s">
        <v>26</v>
      </c>
      <c r="G770" s="8" t="s">
        <v>23</v>
      </c>
      <c r="H770" s="8">
        <v>16</v>
      </c>
      <c r="I770" s="8">
        <v>20</v>
      </c>
      <c r="J770" s="8">
        <v>17</v>
      </c>
      <c r="K770" s="8">
        <v>1228924</v>
      </c>
      <c r="L770" s="8">
        <v>190</v>
      </c>
      <c r="M770" s="8">
        <v>318.97000320000001</v>
      </c>
      <c r="N770" s="8">
        <v>6</v>
      </c>
      <c r="O770" s="8">
        <v>3</v>
      </c>
      <c r="P770" s="2">
        <f t="shared" ref="P770:P833" si="84">IF(K770&gt;0, (L770/K770)*100, 0)</f>
        <v>1.5460679423625872E-2</v>
      </c>
      <c r="Q770" s="3">
        <f t="shared" ref="Q770:Q833" si="85">IF(L770&gt;0, M770/L770, 0)</f>
        <v>1.6787894905263159</v>
      </c>
      <c r="R770" s="4">
        <f t="shared" si="83"/>
        <v>1.5789473684210527E-2</v>
      </c>
      <c r="S770" s="3">
        <f t="shared" ref="S770:S833" si="86">IF(O770&gt;0, M770/O770, 0)</f>
        <v>106.32333440000001</v>
      </c>
      <c r="T770" s="4">
        <f t="shared" ref="T770:T833" si="87">IF(N770&gt;0, O770/N770, 0)</f>
        <v>0.5</v>
      </c>
      <c r="U770" s="3">
        <f t="shared" ref="U770:U833" si="88">IF(K770&gt;0, (M770/K770)*1000, 0)</f>
        <v>0.25955226132779569</v>
      </c>
      <c r="V770" s="5">
        <f t="shared" ref="V770:V833" si="89">IF(M770&gt;0, ((O770*50)-M770)/M770, 0)</f>
        <v>-0.52973634355846544</v>
      </c>
    </row>
    <row r="771" spans="1:22" x14ac:dyDescent="0.3">
      <c r="A771">
        <v>1121606</v>
      </c>
      <c r="B771" s="1">
        <v>42977</v>
      </c>
      <c r="C771" s="1">
        <v>42977</v>
      </c>
      <c r="D771" s="6" t="s">
        <v>28</v>
      </c>
      <c r="E771" s="6" t="s">
        <v>28</v>
      </c>
      <c r="F771" s="7" t="s">
        <v>26</v>
      </c>
      <c r="G771" s="7" t="s">
        <v>23</v>
      </c>
      <c r="H771" s="7">
        <v>16</v>
      </c>
      <c r="I771" s="7">
        <v>22</v>
      </c>
      <c r="J771" s="7">
        <v>17</v>
      </c>
      <c r="K771" s="7">
        <v>938283</v>
      </c>
      <c r="L771" s="7">
        <v>134</v>
      </c>
      <c r="M771" s="7">
        <v>248.64000010000001</v>
      </c>
      <c r="N771" s="7">
        <v>7</v>
      </c>
      <c r="O771" s="7">
        <v>2</v>
      </c>
      <c r="P771" s="2">
        <f t="shared" si="84"/>
        <v>1.4281405503456846E-2</v>
      </c>
      <c r="Q771" s="3">
        <f t="shared" si="85"/>
        <v>1.8555223888059702</v>
      </c>
      <c r="R771" s="4">
        <f t="shared" ref="R771:R834" si="90">IF(L771&gt;0, O771/L771, 0)</f>
        <v>1.4925373134328358E-2</v>
      </c>
      <c r="S771" s="3">
        <f t="shared" si="86"/>
        <v>124.32000005</v>
      </c>
      <c r="T771" s="4">
        <f t="shared" si="87"/>
        <v>0.2857142857142857</v>
      </c>
      <c r="U771" s="3">
        <f t="shared" si="88"/>
        <v>0.26499467655280978</v>
      </c>
      <c r="V771" s="5">
        <f t="shared" si="89"/>
        <v>-0.59781209797385293</v>
      </c>
    </row>
    <row r="772" spans="1:22" x14ac:dyDescent="0.3">
      <c r="A772">
        <v>1121607</v>
      </c>
      <c r="B772" s="1">
        <v>42977</v>
      </c>
      <c r="C772" s="1">
        <v>42977</v>
      </c>
      <c r="D772" s="6" t="s">
        <v>28</v>
      </c>
      <c r="E772" s="6" t="s">
        <v>28</v>
      </c>
      <c r="F772" s="8" t="s">
        <v>26</v>
      </c>
      <c r="G772" s="8" t="s">
        <v>23</v>
      </c>
      <c r="H772" s="8">
        <v>18</v>
      </c>
      <c r="I772" s="8">
        <v>24</v>
      </c>
      <c r="J772" s="8">
        <v>23</v>
      </c>
      <c r="K772" s="8">
        <v>154572</v>
      </c>
      <c r="L772" s="8">
        <v>26</v>
      </c>
      <c r="M772" s="8">
        <v>40.930000069999998</v>
      </c>
      <c r="N772" s="8">
        <v>1</v>
      </c>
      <c r="O772" s="8">
        <v>1</v>
      </c>
      <c r="P772" s="2">
        <f t="shared" si="84"/>
        <v>1.6820640219444658E-2</v>
      </c>
      <c r="Q772" s="3">
        <f t="shared" si="85"/>
        <v>1.5742307719230768</v>
      </c>
      <c r="R772" s="4">
        <f t="shared" si="90"/>
        <v>3.8461538461538464E-2</v>
      </c>
      <c r="S772" s="3">
        <f t="shared" si="86"/>
        <v>40.930000069999998</v>
      </c>
      <c r="T772" s="4">
        <f t="shared" si="87"/>
        <v>1</v>
      </c>
      <c r="U772" s="3">
        <f t="shared" si="88"/>
        <v>0.26479569436896716</v>
      </c>
      <c r="V772" s="5">
        <f t="shared" si="89"/>
        <v>0.22159784789856224</v>
      </c>
    </row>
    <row r="773" spans="1:22" x14ac:dyDescent="0.3">
      <c r="A773">
        <v>1121609</v>
      </c>
      <c r="B773" s="1">
        <v>42977</v>
      </c>
      <c r="C773" s="1">
        <v>42977</v>
      </c>
      <c r="D773" s="6" t="s">
        <v>28</v>
      </c>
      <c r="E773" s="6" t="s">
        <v>28</v>
      </c>
      <c r="F773" s="7" t="s">
        <v>26</v>
      </c>
      <c r="G773" s="7" t="s">
        <v>23</v>
      </c>
      <c r="H773" s="7">
        <v>18</v>
      </c>
      <c r="I773" s="7">
        <v>19</v>
      </c>
      <c r="J773" s="7">
        <v>19</v>
      </c>
      <c r="K773" s="7">
        <v>378171</v>
      </c>
      <c r="L773" s="7">
        <v>70</v>
      </c>
      <c r="M773" s="7">
        <v>109.2500008</v>
      </c>
      <c r="N773" s="7">
        <v>1</v>
      </c>
      <c r="O773" s="7">
        <v>0</v>
      </c>
      <c r="P773" s="2">
        <f t="shared" si="84"/>
        <v>1.8510144881548295E-2</v>
      </c>
      <c r="Q773" s="3">
        <f t="shared" si="85"/>
        <v>1.5607142971428571</v>
      </c>
      <c r="R773" s="4">
        <f t="shared" si="90"/>
        <v>0</v>
      </c>
      <c r="S773" s="3">
        <f t="shared" si="86"/>
        <v>0</v>
      </c>
      <c r="T773" s="4">
        <f t="shared" si="87"/>
        <v>0</v>
      </c>
      <c r="U773" s="3">
        <f t="shared" si="88"/>
        <v>0.28889047758818098</v>
      </c>
      <c r="V773" s="5">
        <f t="shared" si="89"/>
        <v>-1</v>
      </c>
    </row>
    <row r="774" spans="1:22" x14ac:dyDescent="0.3">
      <c r="A774">
        <v>1121612</v>
      </c>
      <c r="B774" s="1">
        <v>42976</v>
      </c>
      <c r="C774" s="1">
        <v>42976</v>
      </c>
      <c r="D774" s="6" t="s">
        <v>28</v>
      </c>
      <c r="E774" s="6" t="s">
        <v>28</v>
      </c>
      <c r="F774" s="8" t="s">
        <v>26</v>
      </c>
      <c r="G774" s="8" t="s">
        <v>23</v>
      </c>
      <c r="H774" s="8">
        <v>18</v>
      </c>
      <c r="I774" s="8">
        <v>19</v>
      </c>
      <c r="J774" s="8">
        <v>22</v>
      </c>
      <c r="K774" s="8">
        <v>468749</v>
      </c>
      <c r="L774" s="8">
        <v>84</v>
      </c>
      <c r="M774" s="8">
        <v>134.11999750000001</v>
      </c>
      <c r="N774" s="8">
        <v>6</v>
      </c>
      <c r="O774" s="8">
        <v>1</v>
      </c>
      <c r="P774" s="2">
        <f t="shared" si="84"/>
        <v>1.7920038229414889E-2</v>
      </c>
      <c r="Q774" s="3">
        <f t="shared" si="85"/>
        <v>1.596666636904762</v>
      </c>
      <c r="R774" s="4">
        <f t="shared" si="90"/>
        <v>1.1904761904761904E-2</v>
      </c>
      <c r="S774" s="3">
        <f t="shared" si="86"/>
        <v>134.11999750000001</v>
      </c>
      <c r="T774" s="4">
        <f t="shared" si="87"/>
        <v>0.16666666666666666</v>
      </c>
      <c r="U774" s="3">
        <f t="shared" si="88"/>
        <v>0.28612327172964636</v>
      </c>
      <c r="V774" s="5">
        <f t="shared" si="89"/>
        <v>-0.62719951586637934</v>
      </c>
    </row>
    <row r="775" spans="1:22" x14ac:dyDescent="0.3">
      <c r="A775">
        <v>1121613</v>
      </c>
      <c r="B775" s="1">
        <v>42976</v>
      </c>
      <c r="C775" s="1">
        <v>42976</v>
      </c>
      <c r="D775" s="6" t="s">
        <v>28</v>
      </c>
      <c r="E775" s="6" t="s">
        <v>28</v>
      </c>
      <c r="F775" s="7" t="s">
        <v>26</v>
      </c>
      <c r="G775" s="7" t="s">
        <v>23</v>
      </c>
      <c r="H775" s="7">
        <v>19</v>
      </c>
      <c r="I775" s="7">
        <v>25</v>
      </c>
      <c r="J775" s="7">
        <v>25</v>
      </c>
      <c r="K775" s="7">
        <v>309823</v>
      </c>
      <c r="L775" s="7">
        <v>60</v>
      </c>
      <c r="M775" s="7">
        <v>103.3899996</v>
      </c>
      <c r="N775" s="7">
        <v>4</v>
      </c>
      <c r="O775" s="7">
        <v>4</v>
      </c>
      <c r="P775" s="2">
        <f t="shared" si="84"/>
        <v>1.9365896011593716E-2</v>
      </c>
      <c r="Q775" s="3">
        <f t="shared" si="85"/>
        <v>1.72316666</v>
      </c>
      <c r="R775" s="4">
        <f t="shared" si="90"/>
        <v>6.6666666666666666E-2</v>
      </c>
      <c r="S775" s="3">
        <f t="shared" si="86"/>
        <v>25.847499899999999</v>
      </c>
      <c r="T775" s="4">
        <f t="shared" si="87"/>
        <v>1</v>
      </c>
      <c r="U775" s="3">
        <f t="shared" si="88"/>
        <v>0.33370666348205263</v>
      </c>
      <c r="V775" s="5">
        <f t="shared" si="89"/>
        <v>0.93442306580684042</v>
      </c>
    </row>
    <row r="776" spans="1:22" x14ac:dyDescent="0.3">
      <c r="A776">
        <v>1121615</v>
      </c>
      <c r="B776" s="1">
        <v>42976</v>
      </c>
      <c r="C776" s="1">
        <v>42976</v>
      </c>
      <c r="D776" s="6" t="s">
        <v>28</v>
      </c>
      <c r="E776" s="6" t="s">
        <v>28</v>
      </c>
      <c r="F776" s="8" t="s">
        <v>26</v>
      </c>
      <c r="G776" s="8" t="s">
        <v>23</v>
      </c>
      <c r="H776" s="8">
        <v>19</v>
      </c>
      <c r="I776" s="8">
        <v>21</v>
      </c>
      <c r="J776" s="8">
        <v>25</v>
      </c>
      <c r="K776" s="8">
        <v>327227</v>
      </c>
      <c r="L776" s="8">
        <v>65</v>
      </c>
      <c r="M776" s="8">
        <v>116.5599996</v>
      </c>
      <c r="N776" s="8">
        <v>5</v>
      </c>
      <c r="O776" s="8">
        <v>0</v>
      </c>
      <c r="P776" s="2">
        <f t="shared" si="84"/>
        <v>1.9863886537480099E-2</v>
      </c>
      <c r="Q776" s="3">
        <f t="shared" si="85"/>
        <v>1.7932307630769231</v>
      </c>
      <c r="R776" s="4">
        <f t="shared" si="90"/>
        <v>0</v>
      </c>
      <c r="S776" s="3">
        <f t="shared" si="86"/>
        <v>0</v>
      </c>
      <c r="T776" s="4">
        <f t="shared" si="87"/>
        <v>0</v>
      </c>
      <c r="U776" s="3">
        <f t="shared" si="88"/>
        <v>0.35620532413278855</v>
      </c>
      <c r="V776" s="5">
        <f t="shared" si="89"/>
        <v>-1</v>
      </c>
    </row>
    <row r="777" spans="1:22" x14ac:dyDescent="0.3">
      <c r="A777">
        <v>1121616</v>
      </c>
      <c r="B777" s="1">
        <v>42976</v>
      </c>
      <c r="C777" s="1">
        <v>42976</v>
      </c>
      <c r="D777" s="6" t="s">
        <v>28</v>
      </c>
      <c r="E777" s="6" t="s">
        <v>28</v>
      </c>
      <c r="F777" s="7" t="s">
        <v>26</v>
      </c>
      <c r="G777" s="7" t="s">
        <v>23</v>
      </c>
      <c r="H777" s="7">
        <v>19</v>
      </c>
      <c r="I777" s="7">
        <v>23</v>
      </c>
      <c r="J777" s="7">
        <v>24</v>
      </c>
      <c r="K777" s="7">
        <v>334945</v>
      </c>
      <c r="L777" s="7">
        <v>72</v>
      </c>
      <c r="M777" s="7">
        <v>120.2999994</v>
      </c>
      <c r="N777" s="7">
        <v>2</v>
      </c>
      <c r="O777" s="7">
        <v>1</v>
      </c>
      <c r="P777" s="2">
        <f t="shared" si="84"/>
        <v>2.1496066518383615E-2</v>
      </c>
      <c r="Q777" s="3">
        <f t="shared" si="85"/>
        <v>1.670833325</v>
      </c>
      <c r="R777" s="4">
        <f t="shared" si="90"/>
        <v>1.3888888888888888E-2</v>
      </c>
      <c r="S777" s="3">
        <f t="shared" si="86"/>
        <v>120.2999994</v>
      </c>
      <c r="T777" s="4">
        <f t="shared" si="87"/>
        <v>0.5</v>
      </c>
      <c r="U777" s="3">
        <f t="shared" si="88"/>
        <v>0.3591634429533207</v>
      </c>
      <c r="V777" s="5">
        <f t="shared" si="89"/>
        <v>-0.58437240025455894</v>
      </c>
    </row>
    <row r="778" spans="1:22" x14ac:dyDescent="0.3">
      <c r="A778">
        <v>1121617</v>
      </c>
      <c r="B778" s="1">
        <v>42976</v>
      </c>
      <c r="C778" s="1">
        <v>42976</v>
      </c>
      <c r="D778" s="6" t="s">
        <v>28</v>
      </c>
      <c r="E778" s="6" t="s">
        <v>28</v>
      </c>
      <c r="F778" s="8" t="s">
        <v>26</v>
      </c>
      <c r="G778" s="8" t="s">
        <v>23</v>
      </c>
      <c r="H778" s="8">
        <v>19</v>
      </c>
      <c r="I778" s="8">
        <v>23</v>
      </c>
      <c r="J778" s="8">
        <v>22</v>
      </c>
      <c r="K778" s="8">
        <v>68859</v>
      </c>
      <c r="L778" s="8">
        <v>15</v>
      </c>
      <c r="M778" s="8">
        <v>25.459999679999999</v>
      </c>
      <c r="N778" s="8">
        <v>1</v>
      </c>
      <c r="O778" s="8">
        <v>0</v>
      </c>
      <c r="P778" s="2">
        <f t="shared" si="84"/>
        <v>2.1783644839454538E-2</v>
      </c>
      <c r="Q778" s="3">
        <f t="shared" si="85"/>
        <v>1.697333312</v>
      </c>
      <c r="R778" s="4">
        <f t="shared" si="90"/>
        <v>0</v>
      </c>
      <c r="S778" s="3">
        <f t="shared" si="86"/>
        <v>0</v>
      </c>
      <c r="T778" s="4">
        <f t="shared" si="87"/>
        <v>0</v>
      </c>
      <c r="U778" s="3">
        <f t="shared" si="88"/>
        <v>0.36974106042783078</v>
      </c>
      <c r="V778" s="5">
        <f t="shared" si="89"/>
        <v>-1</v>
      </c>
    </row>
    <row r="779" spans="1:22" x14ac:dyDescent="0.3">
      <c r="A779">
        <v>1121619</v>
      </c>
      <c r="B779" s="1">
        <v>42977</v>
      </c>
      <c r="C779" s="1">
        <v>42977</v>
      </c>
      <c r="D779" s="6" t="s">
        <v>28</v>
      </c>
      <c r="E779" s="6" t="s">
        <v>28</v>
      </c>
      <c r="F779" s="7" t="s">
        <v>26</v>
      </c>
      <c r="G779" s="7" t="s">
        <v>23</v>
      </c>
      <c r="H779" s="7">
        <v>20</v>
      </c>
      <c r="I779" s="7">
        <v>22</v>
      </c>
      <c r="J779" s="7">
        <v>26</v>
      </c>
      <c r="K779" s="7">
        <v>127125</v>
      </c>
      <c r="L779" s="7">
        <v>20</v>
      </c>
      <c r="M779" s="7">
        <v>35.67999983</v>
      </c>
      <c r="N779" s="7">
        <v>2</v>
      </c>
      <c r="O779" s="7">
        <v>0</v>
      </c>
      <c r="P779" s="2">
        <f t="shared" si="84"/>
        <v>1.5732546705998034E-2</v>
      </c>
      <c r="Q779" s="3">
        <f t="shared" si="85"/>
        <v>1.7839999915</v>
      </c>
      <c r="R779" s="4">
        <f t="shared" si="90"/>
        <v>0</v>
      </c>
      <c r="S779" s="3">
        <f t="shared" si="86"/>
        <v>0</v>
      </c>
      <c r="T779" s="4">
        <f t="shared" si="87"/>
        <v>0</v>
      </c>
      <c r="U779" s="3">
        <f t="shared" si="88"/>
        <v>0.28066863189773844</v>
      </c>
      <c r="V779" s="5">
        <f t="shared" si="89"/>
        <v>-1</v>
      </c>
    </row>
    <row r="780" spans="1:22" x14ac:dyDescent="0.3">
      <c r="A780">
        <v>1121620</v>
      </c>
      <c r="B780" s="1">
        <v>42977</v>
      </c>
      <c r="C780" s="1">
        <v>42977</v>
      </c>
      <c r="D780" s="6" t="s">
        <v>28</v>
      </c>
      <c r="E780" s="6" t="s">
        <v>28</v>
      </c>
      <c r="F780" s="8" t="s">
        <v>26</v>
      </c>
      <c r="G780" s="8" t="s">
        <v>23</v>
      </c>
      <c r="H780" s="8">
        <v>20</v>
      </c>
      <c r="I780" s="8">
        <v>21</v>
      </c>
      <c r="J780" s="8">
        <v>24</v>
      </c>
      <c r="K780" s="8">
        <v>415798</v>
      </c>
      <c r="L780" s="8">
        <v>80</v>
      </c>
      <c r="M780" s="8">
        <v>131.78000059999999</v>
      </c>
      <c r="N780" s="8">
        <v>3</v>
      </c>
      <c r="O780" s="8">
        <v>1</v>
      </c>
      <c r="P780" s="2">
        <f t="shared" si="84"/>
        <v>1.9240111785049471E-2</v>
      </c>
      <c r="Q780" s="3">
        <f t="shared" si="85"/>
        <v>1.6472500074999998</v>
      </c>
      <c r="R780" s="4">
        <f t="shared" si="90"/>
        <v>1.2500000000000001E-2</v>
      </c>
      <c r="S780" s="3">
        <f t="shared" si="86"/>
        <v>131.78000059999999</v>
      </c>
      <c r="T780" s="4">
        <f t="shared" si="87"/>
        <v>0.33333333333333331</v>
      </c>
      <c r="U780" s="3">
        <f t="shared" si="88"/>
        <v>0.31693274282223577</v>
      </c>
      <c r="V780" s="5">
        <f t="shared" si="89"/>
        <v>-0.62057975586319736</v>
      </c>
    </row>
    <row r="781" spans="1:22" x14ac:dyDescent="0.3">
      <c r="A781">
        <v>1121622</v>
      </c>
      <c r="B781" s="1">
        <v>42977</v>
      </c>
      <c r="C781" s="1">
        <v>42977</v>
      </c>
      <c r="D781" s="6" t="s">
        <v>28</v>
      </c>
      <c r="E781" s="6" t="s">
        <v>28</v>
      </c>
      <c r="F781" s="7" t="s">
        <v>26</v>
      </c>
      <c r="G781" s="7" t="s">
        <v>23</v>
      </c>
      <c r="H781" s="7">
        <v>20</v>
      </c>
      <c r="I781" s="7">
        <v>22</v>
      </c>
      <c r="J781" s="7">
        <v>23</v>
      </c>
      <c r="K781" s="7">
        <v>107671</v>
      </c>
      <c r="L781" s="7">
        <v>20</v>
      </c>
      <c r="M781" s="7">
        <v>29.91000021</v>
      </c>
      <c r="N781" s="7">
        <v>1</v>
      </c>
      <c r="O781" s="7">
        <v>1</v>
      </c>
      <c r="P781" s="2">
        <f t="shared" si="84"/>
        <v>1.8575103788392416E-2</v>
      </c>
      <c r="Q781" s="3">
        <f t="shared" si="85"/>
        <v>1.4955000105</v>
      </c>
      <c r="R781" s="4">
        <f t="shared" si="90"/>
        <v>0.05</v>
      </c>
      <c r="S781" s="3">
        <f t="shared" si="86"/>
        <v>29.91000021</v>
      </c>
      <c r="T781" s="4">
        <f t="shared" si="87"/>
        <v>1</v>
      </c>
      <c r="U781" s="3">
        <f t="shared" si="88"/>
        <v>0.27779067910579447</v>
      </c>
      <c r="V781" s="5">
        <f t="shared" si="89"/>
        <v>0.67168170006509009</v>
      </c>
    </row>
    <row r="782" spans="1:22" x14ac:dyDescent="0.3">
      <c r="A782">
        <v>1121623</v>
      </c>
      <c r="B782" s="1">
        <v>42976</v>
      </c>
      <c r="C782" s="1">
        <v>42976</v>
      </c>
      <c r="D782" s="6" t="s">
        <v>28</v>
      </c>
      <c r="E782" s="6" t="s">
        <v>28</v>
      </c>
      <c r="F782" s="8" t="s">
        <v>26</v>
      </c>
      <c r="G782" s="8" t="s">
        <v>23</v>
      </c>
      <c r="H782" s="8">
        <v>20</v>
      </c>
      <c r="I782" s="8">
        <v>24</v>
      </c>
      <c r="J782" s="8">
        <v>22</v>
      </c>
      <c r="K782" s="8">
        <v>164356</v>
      </c>
      <c r="L782" s="8">
        <v>28</v>
      </c>
      <c r="M782" s="8">
        <v>46.790000200000001</v>
      </c>
      <c r="N782" s="8">
        <v>2</v>
      </c>
      <c r="O782" s="8">
        <v>1</v>
      </c>
      <c r="P782" s="2">
        <f t="shared" si="84"/>
        <v>1.7036189734478815E-2</v>
      </c>
      <c r="Q782" s="3">
        <f t="shared" si="85"/>
        <v>1.6710714357142857</v>
      </c>
      <c r="R782" s="4">
        <f t="shared" si="90"/>
        <v>3.5714285714285712E-2</v>
      </c>
      <c r="S782" s="3">
        <f t="shared" si="86"/>
        <v>46.790000200000001</v>
      </c>
      <c r="T782" s="4">
        <f t="shared" si="87"/>
        <v>0.5</v>
      </c>
      <c r="U782" s="3">
        <f t="shared" si="88"/>
        <v>0.28468690038696487</v>
      </c>
      <c r="V782" s="5">
        <f t="shared" si="89"/>
        <v>6.8604398082477425E-2</v>
      </c>
    </row>
    <row r="783" spans="1:22" x14ac:dyDescent="0.3">
      <c r="A783">
        <v>1121624</v>
      </c>
      <c r="B783" s="1">
        <v>42977</v>
      </c>
      <c r="C783" s="1">
        <v>42977</v>
      </c>
      <c r="D783" s="6" t="s">
        <v>28</v>
      </c>
      <c r="E783" s="6" t="s">
        <v>28</v>
      </c>
      <c r="F783" s="7" t="s">
        <v>26</v>
      </c>
      <c r="G783" s="7" t="s">
        <v>23</v>
      </c>
      <c r="H783" s="7">
        <v>20</v>
      </c>
      <c r="I783" s="7">
        <v>26</v>
      </c>
      <c r="J783" s="7">
        <v>25</v>
      </c>
      <c r="K783" s="7">
        <v>17662</v>
      </c>
      <c r="L783" s="7">
        <v>2</v>
      </c>
      <c r="M783" s="7">
        <v>3.1899999380000001</v>
      </c>
      <c r="N783" s="7">
        <v>1</v>
      </c>
      <c r="O783" s="7">
        <v>0</v>
      </c>
      <c r="P783" s="2">
        <f t="shared" si="84"/>
        <v>1.1323745895142113E-2</v>
      </c>
      <c r="Q783" s="3">
        <f t="shared" si="85"/>
        <v>1.5949999690000001</v>
      </c>
      <c r="R783" s="4">
        <f t="shared" si="90"/>
        <v>0</v>
      </c>
      <c r="S783" s="3">
        <f t="shared" si="86"/>
        <v>0</v>
      </c>
      <c r="T783" s="4">
        <f t="shared" si="87"/>
        <v>0</v>
      </c>
      <c r="U783" s="3">
        <f t="shared" si="88"/>
        <v>0.18061374351715548</v>
      </c>
      <c r="V783" s="5">
        <f t="shared" si="89"/>
        <v>-1</v>
      </c>
    </row>
    <row r="784" spans="1:22" x14ac:dyDescent="0.3">
      <c r="A784">
        <v>1121627</v>
      </c>
      <c r="B784" s="1">
        <v>42977</v>
      </c>
      <c r="C784" s="1">
        <v>42977</v>
      </c>
      <c r="D784" s="6" t="s">
        <v>28</v>
      </c>
      <c r="E784" s="6" t="s">
        <v>28</v>
      </c>
      <c r="F784" s="8" t="s">
        <v>26</v>
      </c>
      <c r="G784" s="8" t="s">
        <v>23</v>
      </c>
      <c r="H784" s="8">
        <v>21</v>
      </c>
      <c r="I784" s="8">
        <v>27</v>
      </c>
      <c r="J784" s="8">
        <v>27</v>
      </c>
      <c r="K784" s="8">
        <v>65339</v>
      </c>
      <c r="L784" s="8">
        <v>10</v>
      </c>
      <c r="M784" s="8">
        <v>16.67999983</v>
      </c>
      <c r="N784" s="8">
        <v>2</v>
      </c>
      <c r="O784" s="8">
        <v>0</v>
      </c>
      <c r="P784" s="2">
        <f t="shared" si="84"/>
        <v>1.530479499227108E-2</v>
      </c>
      <c r="Q784" s="3">
        <f t="shared" si="85"/>
        <v>1.6679999830000001</v>
      </c>
      <c r="R784" s="4">
        <f t="shared" si="90"/>
        <v>0</v>
      </c>
      <c r="S784" s="3">
        <f t="shared" si="86"/>
        <v>0</v>
      </c>
      <c r="T784" s="4">
        <f t="shared" si="87"/>
        <v>0</v>
      </c>
      <c r="U784" s="3">
        <f t="shared" si="88"/>
        <v>0.25528397786926643</v>
      </c>
      <c r="V784" s="5">
        <f t="shared" si="89"/>
        <v>-1</v>
      </c>
    </row>
    <row r="785" spans="1:22" x14ac:dyDescent="0.3">
      <c r="A785">
        <v>1121628</v>
      </c>
      <c r="B785" s="1">
        <v>42966</v>
      </c>
      <c r="C785" s="1">
        <v>42966</v>
      </c>
      <c r="D785" s="6" t="s">
        <v>28</v>
      </c>
      <c r="E785" s="6" t="s">
        <v>28</v>
      </c>
      <c r="F785" s="7" t="s">
        <v>26</v>
      </c>
      <c r="G785" s="7" t="s">
        <v>23</v>
      </c>
      <c r="H785" s="7">
        <v>21</v>
      </c>
      <c r="I785" s="7">
        <v>25</v>
      </c>
      <c r="J785" s="7">
        <v>22</v>
      </c>
      <c r="K785" s="7">
        <v>59838</v>
      </c>
      <c r="L785" s="7">
        <v>7</v>
      </c>
      <c r="M785" s="7">
        <v>11.11000013</v>
      </c>
      <c r="N785" s="7">
        <v>1</v>
      </c>
      <c r="O785" s="7">
        <v>0</v>
      </c>
      <c r="P785" s="2">
        <f t="shared" si="84"/>
        <v>1.1698251946923359E-2</v>
      </c>
      <c r="Q785" s="3">
        <f t="shared" si="85"/>
        <v>1.5871428757142856</v>
      </c>
      <c r="R785" s="4">
        <f t="shared" si="90"/>
        <v>0</v>
      </c>
      <c r="S785" s="3">
        <f t="shared" si="86"/>
        <v>0</v>
      </c>
      <c r="T785" s="4">
        <f t="shared" si="87"/>
        <v>0</v>
      </c>
      <c r="U785" s="3">
        <f t="shared" si="88"/>
        <v>0.1856679723587018</v>
      </c>
      <c r="V785" s="5">
        <f t="shared" si="89"/>
        <v>-1</v>
      </c>
    </row>
    <row r="786" spans="1:22" x14ac:dyDescent="0.3">
      <c r="A786">
        <v>1121629</v>
      </c>
      <c r="B786" s="1">
        <v>42966</v>
      </c>
      <c r="C786" s="1">
        <v>42966</v>
      </c>
      <c r="D786" s="6" t="s">
        <v>28</v>
      </c>
      <c r="E786" s="6" t="s">
        <v>28</v>
      </c>
      <c r="F786" s="8" t="s">
        <v>26</v>
      </c>
      <c r="G786" s="8" t="s">
        <v>23</v>
      </c>
      <c r="H786" s="8">
        <v>21</v>
      </c>
      <c r="I786" s="8">
        <v>24</v>
      </c>
      <c r="J786" s="8">
        <v>23</v>
      </c>
      <c r="K786" s="8">
        <v>381577</v>
      </c>
      <c r="L786" s="8">
        <v>81</v>
      </c>
      <c r="M786" s="8">
        <v>127.56999930000001</v>
      </c>
      <c r="N786" s="8">
        <v>2</v>
      </c>
      <c r="O786" s="8">
        <v>0</v>
      </c>
      <c r="P786" s="2">
        <f t="shared" si="84"/>
        <v>2.1227694541337657E-2</v>
      </c>
      <c r="Q786" s="3">
        <f t="shared" si="85"/>
        <v>1.5749382629629631</v>
      </c>
      <c r="R786" s="4">
        <f t="shared" si="90"/>
        <v>0</v>
      </c>
      <c r="S786" s="3">
        <f t="shared" si="86"/>
        <v>0</v>
      </c>
      <c r="T786" s="4">
        <f t="shared" si="87"/>
        <v>0</v>
      </c>
      <c r="U786" s="3">
        <f t="shared" si="88"/>
        <v>0.33432308367642705</v>
      </c>
      <c r="V786" s="5">
        <f t="shared" si="89"/>
        <v>-1</v>
      </c>
    </row>
    <row r="787" spans="1:22" x14ac:dyDescent="0.3">
      <c r="A787">
        <v>1121635</v>
      </c>
      <c r="B787" s="1">
        <v>42966</v>
      </c>
      <c r="C787" s="1">
        <v>42966</v>
      </c>
      <c r="D787" s="6" t="s">
        <v>28</v>
      </c>
      <c r="E787" s="6" t="s">
        <v>28</v>
      </c>
      <c r="F787" s="7" t="s">
        <v>26</v>
      </c>
      <c r="G787" s="7" t="s">
        <v>23</v>
      </c>
      <c r="H787" s="7">
        <v>22</v>
      </c>
      <c r="I787" s="7">
        <v>24</v>
      </c>
      <c r="J787" s="7">
        <v>27</v>
      </c>
      <c r="K787" s="7">
        <v>45491</v>
      </c>
      <c r="L787" s="7">
        <v>8</v>
      </c>
      <c r="M787" s="7">
        <v>11.009999990000001</v>
      </c>
      <c r="N787" s="7">
        <v>1</v>
      </c>
      <c r="O787" s="7">
        <v>0</v>
      </c>
      <c r="P787" s="2">
        <f t="shared" si="84"/>
        <v>1.7585896111318722E-2</v>
      </c>
      <c r="Q787" s="3">
        <f t="shared" si="85"/>
        <v>1.3762499987500001</v>
      </c>
      <c r="R787" s="4">
        <f t="shared" si="90"/>
        <v>0</v>
      </c>
      <c r="S787" s="3">
        <f t="shared" si="86"/>
        <v>0</v>
      </c>
      <c r="T787" s="4">
        <f t="shared" si="87"/>
        <v>0</v>
      </c>
      <c r="U787" s="3">
        <f t="shared" si="88"/>
        <v>0.24202589501220023</v>
      </c>
      <c r="V787" s="5">
        <f t="shared" si="89"/>
        <v>-1</v>
      </c>
    </row>
    <row r="788" spans="1:22" x14ac:dyDescent="0.3">
      <c r="A788">
        <v>1121638</v>
      </c>
      <c r="B788" s="1">
        <v>42966</v>
      </c>
      <c r="C788" s="1">
        <v>42966</v>
      </c>
      <c r="D788" s="6" t="s">
        <v>28</v>
      </c>
      <c r="E788" s="6" t="s">
        <v>28</v>
      </c>
      <c r="F788" s="8" t="s">
        <v>26</v>
      </c>
      <c r="G788" s="8" t="s">
        <v>23</v>
      </c>
      <c r="H788" s="8">
        <v>23</v>
      </c>
      <c r="I788" s="8">
        <v>28</v>
      </c>
      <c r="J788" s="8">
        <v>29</v>
      </c>
      <c r="K788" s="8">
        <v>18946</v>
      </c>
      <c r="L788" s="8">
        <v>2</v>
      </c>
      <c r="M788" s="8">
        <v>3.5999999049999998</v>
      </c>
      <c r="N788" s="8">
        <v>1</v>
      </c>
      <c r="O788" s="8">
        <v>0</v>
      </c>
      <c r="P788" s="2">
        <f t="shared" si="84"/>
        <v>1.0556317956296843E-2</v>
      </c>
      <c r="Q788" s="3">
        <f t="shared" si="85"/>
        <v>1.7999999524999999</v>
      </c>
      <c r="R788" s="4">
        <f t="shared" si="90"/>
        <v>0</v>
      </c>
      <c r="S788" s="3">
        <f t="shared" si="86"/>
        <v>0</v>
      </c>
      <c r="T788" s="4">
        <f t="shared" si="87"/>
        <v>0</v>
      </c>
      <c r="U788" s="3">
        <f t="shared" si="88"/>
        <v>0.19001371819909216</v>
      </c>
      <c r="V788" s="5">
        <f t="shared" si="89"/>
        <v>-1</v>
      </c>
    </row>
    <row r="789" spans="1:22" x14ac:dyDescent="0.3">
      <c r="A789">
        <v>1121641</v>
      </c>
      <c r="B789" s="1">
        <v>42966</v>
      </c>
      <c r="C789" s="1">
        <v>42966</v>
      </c>
      <c r="D789" s="6" t="s">
        <v>28</v>
      </c>
      <c r="E789" s="6" t="s">
        <v>28</v>
      </c>
      <c r="F789" s="7" t="s">
        <v>26</v>
      </c>
      <c r="G789" s="7" t="s">
        <v>23</v>
      </c>
      <c r="H789" s="7">
        <v>23</v>
      </c>
      <c r="I789" s="7">
        <v>29</v>
      </c>
      <c r="J789" s="7">
        <v>29</v>
      </c>
      <c r="K789" s="7">
        <v>114370</v>
      </c>
      <c r="L789" s="7">
        <v>18</v>
      </c>
      <c r="M789" s="7">
        <v>33.659999970000001</v>
      </c>
      <c r="N789" s="7">
        <v>1</v>
      </c>
      <c r="O789" s="7">
        <v>0</v>
      </c>
      <c r="P789" s="2">
        <f t="shared" si="84"/>
        <v>1.5738392935210281E-2</v>
      </c>
      <c r="Q789" s="3">
        <f t="shared" si="85"/>
        <v>1.8699999983333333</v>
      </c>
      <c r="R789" s="4">
        <f t="shared" si="90"/>
        <v>0</v>
      </c>
      <c r="S789" s="3">
        <f t="shared" si="86"/>
        <v>0</v>
      </c>
      <c r="T789" s="4">
        <f t="shared" si="87"/>
        <v>0</v>
      </c>
      <c r="U789" s="3">
        <f t="shared" si="88"/>
        <v>0.29430794762612572</v>
      </c>
      <c r="V789" s="5">
        <f t="shared" si="89"/>
        <v>-1</v>
      </c>
    </row>
    <row r="790" spans="1:22" x14ac:dyDescent="0.3">
      <c r="A790">
        <v>1121642</v>
      </c>
      <c r="B790" s="1">
        <v>42966</v>
      </c>
      <c r="C790" s="1">
        <v>42966</v>
      </c>
      <c r="D790" s="6" t="s">
        <v>28</v>
      </c>
      <c r="E790" s="6" t="s">
        <v>28</v>
      </c>
      <c r="F790" s="8" t="s">
        <v>26</v>
      </c>
      <c r="G790" s="8" t="s">
        <v>23</v>
      </c>
      <c r="H790" s="8">
        <v>23</v>
      </c>
      <c r="I790" s="8">
        <v>26</v>
      </c>
      <c r="J790" s="8">
        <v>29</v>
      </c>
      <c r="K790" s="8">
        <v>99698</v>
      </c>
      <c r="L790" s="8">
        <v>21</v>
      </c>
      <c r="M790" s="8">
        <v>33.3499999</v>
      </c>
      <c r="N790" s="8">
        <v>1</v>
      </c>
      <c r="O790" s="8">
        <v>0</v>
      </c>
      <c r="P790" s="2">
        <f t="shared" si="84"/>
        <v>2.1063612108567876E-2</v>
      </c>
      <c r="Q790" s="3">
        <f t="shared" si="85"/>
        <v>1.5880952333333334</v>
      </c>
      <c r="R790" s="4">
        <f t="shared" si="90"/>
        <v>0</v>
      </c>
      <c r="S790" s="3">
        <f t="shared" si="86"/>
        <v>0</v>
      </c>
      <c r="T790" s="4">
        <f t="shared" si="87"/>
        <v>0</v>
      </c>
      <c r="U790" s="3">
        <f t="shared" si="88"/>
        <v>0.33451021986398927</v>
      </c>
      <c r="V790" s="5">
        <f t="shared" si="89"/>
        <v>-1</v>
      </c>
    </row>
    <row r="791" spans="1:22" x14ac:dyDescent="0.3">
      <c r="A791">
        <v>1121644</v>
      </c>
      <c r="B791" s="1">
        <v>42966</v>
      </c>
      <c r="C791" s="1">
        <v>42966</v>
      </c>
      <c r="D791" s="6" t="s">
        <v>28</v>
      </c>
      <c r="E791" s="6" t="s">
        <v>28</v>
      </c>
      <c r="F791" s="7" t="s">
        <v>26</v>
      </c>
      <c r="G791" s="7" t="s">
        <v>23</v>
      </c>
      <c r="H791" s="7">
        <v>24</v>
      </c>
      <c r="I791" s="7">
        <v>26</v>
      </c>
      <c r="J791" s="7">
        <v>25</v>
      </c>
      <c r="K791" s="7">
        <v>355165</v>
      </c>
      <c r="L791" s="7">
        <v>81</v>
      </c>
      <c r="M791" s="7">
        <v>128.6099997</v>
      </c>
      <c r="N791" s="7">
        <v>4</v>
      </c>
      <c r="O791" s="7">
        <v>3</v>
      </c>
      <c r="P791" s="2">
        <f t="shared" si="84"/>
        <v>2.2806301296580463E-2</v>
      </c>
      <c r="Q791" s="3">
        <f t="shared" si="85"/>
        <v>1.5877777740740742</v>
      </c>
      <c r="R791" s="4">
        <f t="shared" si="90"/>
        <v>3.7037037037037035E-2</v>
      </c>
      <c r="S791" s="3">
        <f t="shared" si="86"/>
        <v>42.869999900000003</v>
      </c>
      <c r="T791" s="4">
        <f t="shared" si="87"/>
        <v>0.75</v>
      </c>
      <c r="U791" s="3">
        <f t="shared" si="88"/>
        <v>0.36211338307547197</v>
      </c>
      <c r="V791" s="5">
        <f t="shared" si="89"/>
        <v>0.16631677435576572</v>
      </c>
    </row>
    <row r="792" spans="1:22" x14ac:dyDescent="0.3">
      <c r="A792">
        <v>1121650</v>
      </c>
      <c r="B792" s="1">
        <v>42966</v>
      </c>
      <c r="C792" s="1">
        <v>42966</v>
      </c>
      <c r="D792" s="6" t="s">
        <v>28</v>
      </c>
      <c r="E792" s="6" t="s">
        <v>28</v>
      </c>
      <c r="F792" s="8" t="s">
        <v>26</v>
      </c>
      <c r="G792" s="8" t="s">
        <v>23</v>
      </c>
      <c r="H792" s="8">
        <v>25</v>
      </c>
      <c r="I792" s="8">
        <v>26</v>
      </c>
      <c r="J792" s="8">
        <v>29</v>
      </c>
      <c r="K792" s="8">
        <v>101431</v>
      </c>
      <c r="L792" s="8">
        <v>23</v>
      </c>
      <c r="M792" s="8">
        <v>33.930000309999997</v>
      </c>
      <c r="N792" s="8">
        <v>1</v>
      </c>
      <c r="O792" s="8">
        <v>1</v>
      </c>
      <c r="P792" s="2">
        <f t="shared" si="84"/>
        <v>2.2675513403200207E-2</v>
      </c>
      <c r="Q792" s="3">
        <f t="shared" si="85"/>
        <v>1.4752174047826085</v>
      </c>
      <c r="R792" s="4">
        <f t="shared" si="90"/>
        <v>4.3478260869565216E-2</v>
      </c>
      <c r="S792" s="3">
        <f t="shared" si="86"/>
        <v>33.930000309999997</v>
      </c>
      <c r="T792" s="4">
        <f t="shared" si="87"/>
        <v>1</v>
      </c>
      <c r="U792" s="3">
        <f t="shared" si="88"/>
        <v>0.3345131203478226</v>
      </c>
      <c r="V792" s="5">
        <f t="shared" si="89"/>
        <v>0.47362214981364981</v>
      </c>
    </row>
    <row r="793" spans="1:22" x14ac:dyDescent="0.3">
      <c r="A793">
        <v>1121652</v>
      </c>
      <c r="B793" s="1">
        <v>42965</v>
      </c>
      <c r="C793" s="1">
        <v>42965</v>
      </c>
      <c r="D793" s="6" t="s">
        <v>28</v>
      </c>
      <c r="E793" s="6" t="s">
        <v>28</v>
      </c>
      <c r="F793" s="7" t="s">
        <v>26</v>
      </c>
      <c r="G793" s="7" t="s">
        <v>23</v>
      </c>
      <c r="H793" s="7">
        <v>25</v>
      </c>
      <c r="I793" s="7">
        <v>30</v>
      </c>
      <c r="J793" s="7">
        <v>29</v>
      </c>
      <c r="K793" s="7">
        <v>123151</v>
      </c>
      <c r="L793" s="7">
        <v>24</v>
      </c>
      <c r="M793" s="7">
        <v>36.440000300000001</v>
      </c>
      <c r="N793" s="7">
        <v>2</v>
      </c>
      <c r="O793" s="7">
        <v>1</v>
      </c>
      <c r="P793" s="2">
        <f t="shared" si="84"/>
        <v>1.9488270497194499E-2</v>
      </c>
      <c r="Q793" s="3">
        <f t="shared" si="85"/>
        <v>1.5183333458333335</v>
      </c>
      <c r="R793" s="4">
        <f t="shared" si="90"/>
        <v>4.1666666666666664E-2</v>
      </c>
      <c r="S793" s="3">
        <f t="shared" si="86"/>
        <v>36.440000300000001</v>
      </c>
      <c r="T793" s="4">
        <f t="shared" si="87"/>
        <v>0.5</v>
      </c>
      <c r="U793" s="3">
        <f t="shared" si="88"/>
        <v>0.29589690948510367</v>
      </c>
      <c r="V793" s="5">
        <f t="shared" si="89"/>
        <v>0.37211853974655423</v>
      </c>
    </row>
    <row r="794" spans="1:22" x14ac:dyDescent="0.3">
      <c r="A794">
        <v>1121660</v>
      </c>
      <c r="B794" s="1">
        <v>42965</v>
      </c>
      <c r="C794" s="1">
        <v>42965</v>
      </c>
      <c r="D794" s="6" t="s">
        <v>28</v>
      </c>
      <c r="E794" s="6" t="s">
        <v>28</v>
      </c>
      <c r="F794" s="8" t="s">
        <v>26</v>
      </c>
      <c r="G794" s="8" t="s">
        <v>23</v>
      </c>
      <c r="H794" s="8">
        <v>26</v>
      </c>
      <c r="I794" s="8">
        <v>30</v>
      </c>
      <c r="J794" s="8">
        <v>29</v>
      </c>
      <c r="K794" s="8">
        <v>24078</v>
      </c>
      <c r="L794" s="8">
        <v>4</v>
      </c>
      <c r="M794" s="8">
        <v>5.7699999809999998</v>
      </c>
      <c r="N794" s="8">
        <v>1</v>
      </c>
      <c r="O794" s="8">
        <v>0</v>
      </c>
      <c r="P794" s="2">
        <f t="shared" si="84"/>
        <v>1.6612675471384668E-2</v>
      </c>
      <c r="Q794" s="3">
        <f t="shared" si="85"/>
        <v>1.4424999952499999</v>
      </c>
      <c r="R794" s="4">
        <f t="shared" si="90"/>
        <v>0</v>
      </c>
      <c r="S794" s="3">
        <f t="shared" si="86"/>
        <v>0</v>
      </c>
      <c r="T794" s="4">
        <f t="shared" si="87"/>
        <v>0</v>
      </c>
      <c r="U794" s="3">
        <f t="shared" si="88"/>
        <v>0.2396378428856217</v>
      </c>
      <c r="V794" s="5">
        <f t="shared" si="89"/>
        <v>-1</v>
      </c>
    </row>
    <row r="795" spans="1:22" x14ac:dyDescent="0.3">
      <c r="A795">
        <v>1121661</v>
      </c>
      <c r="B795" s="1">
        <v>42965</v>
      </c>
      <c r="C795" s="1">
        <v>42965</v>
      </c>
      <c r="D795" s="6" t="s">
        <v>28</v>
      </c>
      <c r="E795" s="6" t="s">
        <v>28</v>
      </c>
      <c r="F795" s="7" t="s">
        <v>26</v>
      </c>
      <c r="G795" s="7" t="s">
        <v>23</v>
      </c>
      <c r="H795" s="7">
        <v>27</v>
      </c>
      <c r="I795" s="7">
        <v>33</v>
      </c>
      <c r="J795" s="7">
        <v>30</v>
      </c>
      <c r="K795" s="7">
        <v>517801</v>
      </c>
      <c r="L795" s="7">
        <v>105</v>
      </c>
      <c r="M795" s="7">
        <v>181.72000109999999</v>
      </c>
      <c r="N795" s="7">
        <v>3</v>
      </c>
      <c r="O795" s="7">
        <v>0</v>
      </c>
      <c r="P795" s="2">
        <f t="shared" si="84"/>
        <v>2.0278060490420066E-2</v>
      </c>
      <c r="Q795" s="3">
        <f t="shared" si="85"/>
        <v>1.7306666771428572</v>
      </c>
      <c r="R795" s="4">
        <f t="shared" si="90"/>
        <v>0</v>
      </c>
      <c r="S795" s="3">
        <f t="shared" si="86"/>
        <v>0</v>
      </c>
      <c r="T795" s="4">
        <f t="shared" si="87"/>
        <v>0</v>
      </c>
      <c r="U795" s="3">
        <f t="shared" si="88"/>
        <v>0.35094563567857151</v>
      </c>
      <c r="V795" s="5">
        <f t="shared" si="89"/>
        <v>-1</v>
      </c>
    </row>
    <row r="796" spans="1:22" x14ac:dyDescent="0.3">
      <c r="A796">
        <v>1121662</v>
      </c>
      <c r="B796" s="1">
        <v>42965</v>
      </c>
      <c r="C796" s="1">
        <v>42965</v>
      </c>
      <c r="D796" s="6" t="s">
        <v>28</v>
      </c>
      <c r="E796" s="6" t="s">
        <v>28</v>
      </c>
      <c r="F796" s="8" t="s">
        <v>26</v>
      </c>
      <c r="G796" s="8" t="s">
        <v>23</v>
      </c>
      <c r="H796" s="8">
        <v>27</v>
      </c>
      <c r="I796" s="8">
        <v>28</v>
      </c>
      <c r="J796" s="8">
        <v>32</v>
      </c>
      <c r="K796" s="8">
        <v>145104</v>
      </c>
      <c r="L796" s="8">
        <v>25</v>
      </c>
      <c r="M796" s="8">
        <v>41.420000080000001</v>
      </c>
      <c r="N796" s="8">
        <v>2</v>
      </c>
      <c r="O796" s="8">
        <v>1</v>
      </c>
      <c r="P796" s="2">
        <f t="shared" si="84"/>
        <v>1.7229021942882346E-2</v>
      </c>
      <c r="Q796" s="3">
        <f t="shared" si="85"/>
        <v>1.6568000032000001</v>
      </c>
      <c r="R796" s="4">
        <f t="shared" si="90"/>
        <v>0.04</v>
      </c>
      <c r="S796" s="3">
        <f t="shared" si="86"/>
        <v>41.420000080000001</v>
      </c>
      <c r="T796" s="4">
        <f t="shared" si="87"/>
        <v>0.5</v>
      </c>
      <c r="U796" s="3">
        <f t="shared" si="88"/>
        <v>0.2854504361010034</v>
      </c>
      <c r="V796" s="5">
        <f t="shared" si="89"/>
        <v>0.20714630380077967</v>
      </c>
    </row>
    <row r="797" spans="1:22" x14ac:dyDescent="0.3">
      <c r="A797">
        <v>1121664</v>
      </c>
      <c r="B797" s="1">
        <v>42965</v>
      </c>
      <c r="C797" s="1">
        <v>42965</v>
      </c>
      <c r="D797" s="6" t="s">
        <v>28</v>
      </c>
      <c r="E797" s="6" t="s">
        <v>28</v>
      </c>
      <c r="F797" s="7" t="s">
        <v>26</v>
      </c>
      <c r="G797" s="7" t="s">
        <v>23</v>
      </c>
      <c r="H797" s="7">
        <v>27</v>
      </c>
      <c r="I797" s="7">
        <v>31</v>
      </c>
      <c r="J797" s="7">
        <v>28</v>
      </c>
      <c r="K797" s="7">
        <v>179950</v>
      </c>
      <c r="L797" s="7">
        <v>35</v>
      </c>
      <c r="M797" s="7">
        <v>58.679999709999997</v>
      </c>
      <c r="N797" s="7">
        <v>1</v>
      </c>
      <c r="O797" s="7">
        <v>0</v>
      </c>
      <c r="P797" s="2">
        <f t="shared" si="84"/>
        <v>1.9449847179772158E-2</v>
      </c>
      <c r="Q797" s="3">
        <f t="shared" si="85"/>
        <v>1.6765714202857143</v>
      </c>
      <c r="R797" s="4">
        <f t="shared" si="90"/>
        <v>0</v>
      </c>
      <c r="S797" s="3">
        <f t="shared" si="86"/>
        <v>0</v>
      </c>
      <c r="T797" s="4">
        <f t="shared" si="87"/>
        <v>0</v>
      </c>
      <c r="U797" s="3">
        <f t="shared" si="88"/>
        <v>0.32609057910530703</v>
      </c>
      <c r="V797" s="5">
        <f t="shared" si="89"/>
        <v>-1</v>
      </c>
    </row>
    <row r="798" spans="1:22" x14ac:dyDescent="0.3">
      <c r="A798">
        <v>1121665</v>
      </c>
      <c r="B798" s="1">
        <v>42965</v>
      </c>
      <c r="C798" s="1">
        <v>42965</v>
      </c>
      <c r="D798" s="6" t="s">
        <v>28</v>
      </c>
      <c r="E798" s="6" t="s">
        <v>28</v>
      </c>
      <c r="F798" s="8" t="s">
        <v>26</v>
      </c>
      <c r="G798" s="8" t="s">
        <v>23</v>
      </c>
      <c r="H798" s="8">
        <v>27</v>
      </c>
      <c r="I798" s="8">
        <v>31</v>
      </c>
      <c r="J798" s="8">
        <v>31</v>
      </c>
      <c r="K798" s="8">
        <v>258531</v>
      </c>
      <c r="L798" s="8">
        <v>46</v>
      </c>
      <c r="M798" s="8">
        <v>80.339999789999993</v>
      </c>
      <c r="N798" s="8">
        <v>2</v>
      </c>
      <c r="O798" s="8">
        <v>0</v>
      </c>
      <c r="P798" s="2">
        <f t="shared" si="84"/>
        <v>1.779283722261547E-2</v>
      </c>
      <c r="Q798" s="3">
        <f t="shared" si="85"/>
        <v>1.7465217345652173</v>
      </c>
      <c r="R798" s="4">
        <f t="shared" si="90"/>
        <v>0</v>
      </c>
      <c r="S798" s="3">
        <f t="shared" si="86"/>
        <v>0</v>
      </c>
      <c r="T798" s="4">
        <f t="shared" si="87"/>
        <v>0</v>
      </c>
      <c r="U798" s="3">
        <f t="shared" si="88"/>
        <v>0.31075576928878934</v>
      </c>
      <c r="V798" s="5">
        <f t="shared" si="89"/>
        <v>-1</v>
      </c>
    </row>
    <row r="799" spans="1:22" x14ac:dyDescent="0.3">
      <c r="A799">
        <v>1121666</v>
      </c>
      <c r="B799" s="1">
        <v>42965</v>
      </c>
      <c r="C799" s="1">
        <v>42965</v>
      </c>
      <c r="D799" s="6" t="s">
        <v>28</v>
      </c>
      <c r="E799" s="6" t="s">
        <v>28</v>
      </c>
      <c r="F799" s="7" t="s">
        <v>26</v>
      </c>
      <c r="G799" s="7" t="s">
        <v>23</v>
      </c>
      <c r="H799" s="7">
        <v>27</v>
      </c>
      <c r="I799" s="7">
        <v>31</v>
      </c>
      <c r="J799" s="7">
        <v>29</v>
      </c>
      <c r="K799" s="7">
        <v>272500</v>
      </c>
      <c r="L799" s="7">
        <v>62</v>
      </c>
      <c r="M799" s="7">
        <v>104.4599996</v>
      </c>
      <c r="N799" s="7">
        <v>3</v>
      </c>
      <c r="O799" s="7">
        <v>0</v>
      </c>
      <c r="P799" s="2">
        <f t="shared" si="84"/>
        <v>2.2752293577981652E-2</v>
      </c>
      <c r="Q799" s="3">
        <f t="shared" si="85"/>
        <v>1.6848387032258065</v>
      </c>
      <c r="R799" s="4">
        <f t="shared" si="90"/>
        <v>0</v>
      </c>
      <c r="S799" s="3">
        <f t="shared" si="86"/>
        <v>0</v>
      </c>
      <c r="T799" s="4">
        <f t="shared" si="87"/>
        <v>0</v>
      </c>
      <c r="U799" s="3">
        <f t="shared" si="88"/>
        <v>0.38333944807339454</v>
      </c>
      <c r="V799" s="5">
        <f t="shared" si="89"/>
        <v>-1</v>
      </c>
    </row>
    <row r="800" spans="1:22" x14ac:dyDescent="0.3">
      <c r="A800">
        <v>1121667</v>
      </c>
      <c r="B800" s="1">
        <v>42965</v>
      </c>
      <c r="C800" s="1">
        <v>42965</v>
      </c>
      <c r="D800" s="6" t="s">
        <v>28</v>
      </c>
      <c r="E800" s="6" t="s">
        <v>28</v>
      </c>
      <c r="F800" s="8" t="s">
        <v>26</v>
      </c>
      <c r="G800" s="8" t="s">
        <v>23</v>
      </c>
      <c r="H800" s="8">
        <v>28</v>
      </c>
      <c r="I800" s="8">
        <v>31</v>
      </c>
      <c r="J800" s="8">
        <v>32</v>
      </c>
      <c r="K800" s="8">
        <v>273197</v>
      </c>
      <c r="L800" s="8">
        <v>57</v>
      </c>
      <c r="M800" s="8">
        <v>87.730000500000003</v>
      </c>
      <c r="N800" s="8">
        <v>3</v>
      </c>
      <c r="O800" s="8">
        <v>0</v>
      </c>
      <c r="P800" s="2">
        <f t="shared" si="84"/>
        <v>2.086406512516609E-2</v>
      </c>
      <c r="Q800" s="3">
        <f t="shared" si="85"/>
        <v>1.5391228157894736</v>
      </c>
      <c r="R800" s="4">
        <f t="shared" si="90"/>
        <v>0</v>
      </c>
      <c r="S800" s="3">
        <f t="shared" si="86"/>
        <v>0</v>
      </c>
      <c r="T800" s="4">
        <f t="shared" si="87"/>
        <v>0</v>
      </c>
      <c r="U800" s="3">
        <f t="shared" si="88"/>
        <v>0.32112358664260587</v>
      </c>
      <c r="V800" s="5">
        <f t="shared" si="89"/>
        <v>-1</v>
      </c>
    </row>
    <row r="801" spans="1:22" x14ac:dyDescent="0.3">
      <c r="A801">
        <v>1121668</v>
      </c>
      <c r="B801" s="1">
        <v>42965</v>
      </c>
      <c r="C801" s="1">
        <v>42965</v>
      </c>
      <c r="D801" s="6" t="s">
        <v>28</v>
      </c>
      <c r="E801" s="6" t="s">
        <v>28</v>
      </c>
      <c r="F801" s="7" t="s">
        <v>26</v>
      </c>
      <c r="G801" s="7" t="s">
        <v>23</v>
      </c>
      <c r="H801" s="7">
        <v>28</v>
      </c>
      <c r="I801" s="7">
        <v>30</v>
      </c>
      <c r="J801" s="7">
        <v>34</v>
      </c>
      <c r="K801" s="7">
        <v>775904</v>
      </c>
      <c r="L801" s="7">
        <v>172</v>
      </c>
      <c r="M801" s="7">
        <v>253.990002</v>
      </c>
      <c r="N801" s="7">
        <v>4</v>
      </c>
      <c r="O801" s="7">
        <v>2</v>
      </c>
      <c r="P801" s="2">
        <f t="shared" si="84"/>
        <v>2.2167690848352371E-2</v>
      </c>
      <c r="Q801" s="3">
        <f t="shared" si="85"/>
        <v>1.4766860581395349</v>
      </c>
      <c r="R801" s="4">
        <f t="shared" si="90"/>
        <v>1.1627906976744186E-2</v>
      </c>
      <c r="S801" s="3">
        <f t="shared" si="86"/>
        <v>126.995001</v>
      </c>
      <c r="T801" s="4">
        <f t="shared" si="87"/>
        <v>0.5</v>
      </c>
      <c r="U801" s="3">
        <f t="shared" si="88"/>
        <v>0.32734720016909308</v>
      </c>
      <c r="V801" s="5">
        <f t="shared" si="89"/>
        <v>-0.60628371505741396</v>
      </c>
    </row>
    <row r="802" spans="1:22" x14ac:dyDescent="0.3">
      <c r="A802">
        <v>1121669</v>
      </c>
      <c r="B802" s="1">
        <v>42965</v>
      </c>
      <c r="C802" s="1">
        <v>42965</v>
      </c>
      <c r="D802" s="6" t="s">
        <v>28</v>
      </c>
      <c r="E802" s="6" t="s">
        <v>28</v>
      </c>
      <c r="F802" s="8" t="s">
        <v>26</v>
      </c>
      <c r="G802" s="8" t="s">
        <v>23</v>
      </c>
      <c r="H802" s="8">
        <v>28</v>
      </c>
      <c r="I802" s="8">
        <v>33</v>
      </c>
      <c r="J802" s="8">
        <v>33</v>
      </c>
      <c r="K802" s="8">
        <v>120251</v>
      </c>
      <c r="L802" s="8">
        <v>26</v>
      </c>
      <c r="M802" s="8">
        <v>39.440000060000003</v>
      </c>
      <c r="N802" s="8">
        <v>1</v>
      </c>
      <c r="O802" s="8">
        <v>0</v>
      </c>
      <c r="P802" s="2">
        <f t="shared" si="84"/>
        <v>2.1621441817531666E-2</v>
      </c>
      <c r="Q802" s="3">
        <f t="shared" si="85"/>
        <v>1.5169230792307693</v>
      </c>
      <c r="R802" s="4">
        <f t="shared" si="90"/>
        <v>0</v>
      </c>
      <c r="S802" s="3">
        <f t="shared" si="86"/>
        <v>0</v>
      </c>
      <c r="T802" s="4">
        <f t="shared" si="87"/>
        <v>0</v>
      </c>
      <c r="U802" s="3">
        <f t="shared" si="88"/>
        <v>0.3279806409925905</v>
      </c>
      <c r="V802" s="5">
        <f t="shared" si="89"/>
        <v>-1</v>
      </c>
    </row>
    <row r="803" spans="1:22" x14ac:dyDescent="0.3">
      <c r="A803">
        <v>1121671</v>
      </c>
      <c r="B803" s="1">
        <v>42965</v>
      </c>
      <c r="C803" s="1">
        <v>42965</v>
      </c>
      <c r="D803" s="6" t="s">
        <v>28</v>
      </c>
      <c r="E803" s="6" t="s">
        <v>28</v>
      </c>
      <c r="F803" s="7" t="s">
        <v>26</v>
      </c>
      <c r="G803" s="7" t="s">
        <v>23</v>
      </c>
      <c r="H803" s="7">
        <v>28</v>
      </c>
      <c r="I803" s="7">
        <v>29</v>
      </c>
      <c r="J803" s="7">
        <v>32</v>
      </c>
      <c r="K803" s="7">
        <v>139406</v>
      </c>
      <c r="L803" s="7">
        <v>24</v>
      </c>
      <c r="M803" s="7">
        <v>39.049999479999997</v>
      </c>
      <c r="N803" s="7">
        <v>1</v>
      </c>
      <c r="O803" s="7">
        <v>0</v>
      </c>
      <c r="P803" s="2">
        <f t="shared" si="84"/>
        <v>1.7215901754587322E-2</v>
      </c>
      <c r="Q803" s="3">
        <f t="shared" si="85"/>
        <v>1.6270833116666665</v>
      </c>
      <c r="R803" s="4">
        <f t="shared" si="90"/>
        <v>0</v>
      </c>
      <c r="S803" s="3">
        <f t="shared" si="86"/>
        <v>0</v>
      </c>
      <c r="T803" s="4">
        <f t="shared" si="87"/>
        <v>0</v>
      </c>
      <c r="U803" s="3">
        <f t="shared" si="88"/>
        <v>0.28011706440181916</v>
      </c>
      <c r="V803" s="5">
        <f t="shared" si="89"/>
        <v>-1</v>
      </c>
    </row>
    <row r="804" spans="1:22" x14ac:dyDescent="0.3">
      <c r="A804">
        <v>1121672</v>
      </c>
      <c r="B804" s="1">
        <v>42976</v>
      </c>
      <c r="C804" s="1">
        <v>42976</v>
      </c>
      <c r="D804" s="6" t="s">
        <v>28</v>
      </c>
      <c r="E804" s="6" t="s">
        <v>28</v>
      </c>
      <c r="F804" s="8" t="s">
        <v>26</v>
      </c>
      <c r="G804" s="8" t="s">
        <v>23</v>
      </c>
      <c r="H804" s="8">
        <v>28</v>
      </c>
      <c r="I804" s="8">
        <v>32</v>
      </c>
      <c r="J804" s="8">
        <v>31</v>
      </c>
      <c r="K804" s="8">
        <v>60314</v>
      </c>
      <c r="L804" s="8">
        <v>11</v>
      </c>
      <c r="M804" s="8">
        <v>16.939999579999999</v>
      </c>
      <c r="N804" s="8">
        <v>2</v>
      </c>
      <c r="O804" s="8">
        <v>1</v>
      </c>
      <c r="P804" s="2">
        <f t="shared" si="84"/>
        <v>1.8237888384123088E-2</v>
      </c>
      <c r="Q804" s="3">
        <f t="shared" si="85"/>
        <v>1.5399999618181817</v>
      </c>
      <c r="R804" s="4">
        <f t="shared" si="90"/>
        <v>9.0909090909090912E-2</v>
      </c>
      <c r="S804" s="3">
        <f t="shared" si="86"/>
        <v>16.939999579999999</v>
      </c>
      <c r="T804" s="4">
        <f t="shared" si="87"/>
        <v>0.5</v>
      </c>
      <c r="U804" s="3">
        <f t="shared" si="88"/>
        <v>0.28086347415193813</v>
      </c>
      <c r="V804" s="5">
        <f t="shared" si="89"/>
        <v>1.951593933864785</v>
      </c>
    </row>
    <row r="805" spans="1:22" x14ac:dyDescent="0.3">
      <c r="A805">
        <v>1121673</v>
      </c>
      <c r="B805" s="1">
        <v>42976</v>
      </c>
      <c r="C805" s="1">
        <v>42976</v>
      </c>
      <c r="D805" s="6" t="s">
        <v>28</v>
      </c>
      <c r="E805" s="6" t="s">
        <v>28</v>
      </c>
      <c r="F805" s="7" t="s">
        <v>26</v>
      </c>
      <c r="G805" s="7" t="s">
        <v>23</v>
      </c>
      <c r="H805" s="7">
        <v>29</v>
      </c>
      <c r="I805" s="7">
        <v>34</v>
      </c>
      <c r="J805" s="7">
        <v>30</v>
      </c>
      <c r="K805" s="7">
        <v>563074</v>
      </c>
      <c r="L805" s="7">
        <v>86</v>
      </c>
      <c r="M805" s="7">
        <v>142.70999850000001</v>
      </c>
      <c r="N805" s="7">
        <v>4</v>
      </c>
      <c r="O805" s="7">
        <v>2</v>
      </c>
      <c r="P805" s="2">
        <f t="shared" si="84"/>
        <v>1.5273303331356092E-2</v>
      </c>
      <c r="Q805" s="3">
        <f t="shared" si="85"/>
        <v>1.6594185872093024</v>
      </c>
      <c r="R805" s="4">
        <f t="shared" si="90"/>
        <v>2.3255813953488372E-2</v>
      </c>
      <c r="S805" s="3">
        <f t="shared" si="86"/>
        <v>71.354999250000006</v>
      </c>
      <c r="T805" s="4">
        <f t="shared" si="87"/>
        <v>0.5</v>
      </c>
      <c r="U805" s="3">
        <f t="shared" si="88"/>
        <v>0.25344803436138058</v>
      </c>
      <c r="V805" s="5">
        <f t="shared" si="89"/>
        <v>-0.29927824923913798</v>
      </c>
    </row>
    <row r="806" spans="1:22" x14ac:dyDescent="0.3">
      <c r="A806">
        <v>1121674</v>
      </c>
      <c r="B806" s="1">
        <v>42974</v>
      </c>
      <c r="C806" s="1">
        <v>42974</v>
      </c>
      <c r="D806" s="6" t="s">
        <v>28</v>
      </c>
      <c r="E806" s="6" t="s">
        <v>28</v>
      </c>
      <c r="F806" s="8" t="s">
        <v>26</v>
      </c>
      <c r="G806" s="8" t="s">
        <v>23</v>
      </c>
      <c r="H806" s="8">
        <v>29</v>
      </c>
      <c r="I806" s="8">
        <v>30</v>
      </c>
      <c r="J806" s="8">
        <v>30</v>
      </c>
      <c r="K806" s="8">
        <v>168655</v>
      </c>
      <c r="L806" s="8">
        <v>18</v>
      </c>
      <c r="M806" s="8">
        <v>27.299999830000001</v>
      </c>
      <c r="N806" s="8">
        <v>2</v>
      </c>
      <c r="O806" s="8">
        <v>0</v>
      </c>
      <c r="P806" s="2">
        <f t="shared" si="84"/>
        <v>1.0672674987400314E-2</v>
      </c>
      <c r="Q806" s="3">
        <f t="shared" si="85"/>
        <v>1.5166666572222223</v>
      </c>
      <c r="R806" s="4">
        <f t="shared" si="90"/>
        <v>0</v>
      </c>
      <c r="S806" s="3">
        <f t="shared" si="86"/>
        <v>0</v>
      </c>
      <c r="T806" s="4">
        <f t="shared" si="87"/>
        <v>0</v>
      </c>
      <c r="U806" s="3">
        <f t="shared" si="88"/>
        <v>0.16186890296759657</v>
      </c>
      <c r="V806" s="5">
        <f t="shared" si="89"/>
        <v>-1</v>
      </c>
    </row>
    <row r="807" spans="1:22" x14ac:dyDescent="0.3">
      <c r="A807">
        <v>1121675</v>
      </c>
      <c r="B807" s="1">
        <v>42974</v>
      </c>
      <c r="C807" s="1">
        <v>42974</v>
      </c>
      <c r="D807" s="6" t="s">
        <v>28</v>
      </c>
      <c r="E807" s="6" t="s">
        <v>28</v>
      </c>
      <c r="F807" s="7" t="s">
        <v>26</v>
      </c>
      <c r="G807" s="7" t="s">
        <v>23</v>
      </c>
      <c r="H807" s="7">
        <v>29</v>
      </c>
      <c r="I807" s="7">
        <v>34</v>
      </c>
      <c r="J807" s="7">
        <v>31</v>
      </c>
      <c r="K807" s="7">
        <v>111963</v>
      </c>
      <c r="L807" s="7">
        <v>17</v>
      </c>
      <c r="M807" s="7">
        <v>29.379999399999999</v>
      </c>
      <c r="N807" s="7">
        <v>2</v>
      </c>
      <c r="O807" s="7">
        <v>1</v>
      </c>
      <c r="P807" s="2">
        <f t="shared" si="84"/>
        <v>1.5183587435134822E-2</v>
      </c>
      <c r="Q807" s="3">
        <f t="shared" si="85"/>
        <v>1.7282352588235295</v>
      </c>
      <c r="R807" s="4">
        <f t="shared" si="90"/>
        <v>5.8823529411764705E-2</v>
      </c>
      <c r="S807" s="3">
        <f t="shared" si="86"/>
        <v>29.379999399999999</v>
      </c>
      <c r="T807" s="4">
        <f t="shared" si="87"/>
        <v>0.5</v>
      </c>
      <c r="U807" s="3">
        <f t="shared" si="88"/>
        <v>0.26240811160829913</v>
      </c>
      <c r="V807" s="5">
        <f t="shared" si="89"/>
        <v>0.70183801977885685</v>
      </c>
    </row>
    <row r="808" spans="1:22" x14ac:dyDescent="0.3">
      <c r="A808">
        <v>1121676</v>
      </c>
      <c r="B808" s="1">
        <v>42974</v>
      </c>
      <c r="C808" s="1">
        <v>42974</v>
      </c>
      <c r="D808" s="6" t="s">
        <v>28</v>
      </c>
      <c r="E808" s="6" t="s">
        <v>28</v>
      </c>
      <c r="F808" s="8" t="s">
        <v>26</v>
      </c>
      <c r="G808" s="8" t="s">
        <v>23</v>
      </c>
      <c r="H808" s="8">
        <v>29</v>
      </c>
      <c r="I808" s="8">
        <v>32</v>
      </c>
      <c r="J808" s="8">
        <v>30</v>
      </c>
      <c r="K808" s="8">
        <v>1026304</v>
      </c>
      <c r="L808" s="8">
        <v>168</v>
      </c>
      <c r="M808" s="8">
        <v>277.57999860000001</v>
      </c>
      <c r="N808" s="8">
        <v>17</v>
      </c>
      <c r="O808" s="8">
        <v>8</v>
      </c>
      <c r="P808" s="2">
        <f t="shared" si="84"/>
        <v>1.6369418807682716E-2</v>
      </c>
      <c r="Q808" s="3">
        <f t="shared" si="85"/>
        <v>1.6522618964285716</v>
      </c>
      <c r="R808" s="4">
        <f t="shared" si="90"/>
        <v>4.7619047619047616E-2</v>
      </c>
      <c r="S808" s="3">
        <f t="shared" si="86"/>
        <v>34.697499825000001</v>
      </c>
      <c r="T808" s="4">
        <f t="shared" si="87"/>
        <v>0.47058823529411764</v>
      </c>
      <c r="U808" s="3">
        <f t="shared" si="88"/>
        <v>0.2704656696261537</v>
      </c>
      <c r="V808" s="5">
        <f t="shared" si="89"/>
        <v>0.44102601778743572</v>
      </c>
    </row>
    <row r="809" spans="1:22" x14ac:dyDescent="0.3">
      <c r="A809">
        <v>1121677</v>
      </c>
      <c r="B809" s="1">
        <v>42974</v>
      </c>
      <c r="C809" s="1">
        <v>42974</v>
      </c>
      <c r="D809" s="6" t="s">
        <v>28</v>
      </c>
      <c r="E809" s="6" t="s">
        <v>28</v>
      </c>
      <c r="F809" s="7" t="s">
        <v>26</v>
      </c>
      <c r="G809" s="7" t="s">
        <v>23</v>
      </c>
      <c r="H809" s="7">
        <v>29</v>
      </c>
      <c r="I809" s="7">
        <v>35</v>
      </c>
      <c r="J809" s="7">
        <v>34</v>
      </c>
      <c r="K809" s="7">
        <v>1391924</v>
      </c>
      <c r="L809" s="7">
        <v>258</v>
      </c>
      <c r="M809" s="7">
        <v>422.84000379999998</v>
      </c>
      <c r="N809" s="7">
        <v>17</v>
      </c>
      <c r="O809" s="7">
        <v>10</v>
      </c>
      <c r="P809" s="2">
        <f t="shared" si="84"/>
        <v>1.8535494754023926E-2</v>
      </c>
      <c r="Q809" s="3">
        <f t="shared" si="85"/>
        <v>1.6389147434108526</v>
      </c>
      <c r="R809" s="4">
        <f t="shared" si="90"/>
        <v>3.875968992248062E-2</v>
      </c>
      <c r="S809" s="3">
        <f t="shared" si="86"/>
        <v>42.284000379999995</v>
      </c>
      <c r="T809" s="4">
        <f t="shared" si="87"/>
        <v>0.58823529411764708</v>
      </c>
      <c r="U809" s="3">
        <f t="shared" si="88"/>
        <v>0.30378095628784324</v>
      </c>
      <c r="V809" s="5">
        <f t="shared" si="89"/>
        <v>0.18248036019906977</v>
      </c>
    </row>
    <row r="810" spans="1:22" x14ac:dyDescent="0.3">
      <c r="A810">
        <v>1121678</v>
      </c>
      <c r="B810" s="1">
        <v>42974</v>
      </c>
      <c r="C810" s="1">
        <v>42974</v>
      </c>
      <c r="D810" s="6" t="s">
        <v>28</v>
      </c>
      <c r="E810" s="6" t="s">
        <v>28</v>
      </c>
      <c r="F810" s="8" t="s">
        <v>26</v>
      </c>
      <c r="G810" s="8" t="s">
        <v>23</v>
      </c>
      <c r="H810" s="8">
        <v>29</v>
      </c>
      <c r="I810" s="8">
        <v>33</v>
      </c>
      <c r="J810" s="8">
        <v>33</v>
      </c>
      <c r="K810" s="8">
        <v>147551</v>
      </c>
      <c r="L810" s="8">
        <v>22</v>
      </c>
      <c r="M810" s="8">
        <v>38.500000829999998</v>
      </c>
      <c r="N810" s="8">
        <v>1</v>
      </c>
      <c r="O810" s="8">
        <v>0</v>
      </c>
      <c r="P810" s="2">
        <f t="shared" si="84"/>
        <v>1.4910098881064853E-2</v>
      </c>
      <c r="Q810" s="3">
        <f t="shared" si="85"/>
        <v>1.7500000377272726</v>
      </c>
      <c r="R810" s="4">
        <f t="shared" si="90"/>
        <v>0</v>
      </c>
      <c r="S810" s="3">
        <f t="shared" si="86"/>
        <v>0</v>
      </c>
      <c r="T810" s="4">
        <f t="shared" si="87"/>
        <v>0</v>
      </c>
      <c r="U810" s="3">
        <f t="shared" si="88"/>
        <v>0.26092673604380856</v>
      </c>
      <c r="V810" s="5">
        <f t="shared" si="89"/>
        <v>-1</v>
      </c>
    </row>
    <row r="811" spans="1:22" x14ac:dyDescent="0.3">
      <c r="A811">
        <v>1121685</v>
      </c>
      <c r="B811" s="1">
        <v>42974</v>
      </c>
      <c r="C811" s="1">
        <v>42974</v>
      </c>
      <c r="D811" s="6" t="s">
        <v>28</v>
      </c>
      <c r="E811" s="6" t="s">
        <v>28</v>
      </c>
      <c r="F811" s="7" t="s">
        <v>26</v>
      </c>
      <c r="G811" s="7" t="s">
        <v>23</v>
      </c>
      <c r="H811" s="7">
        <v>31</v>
      </c>
      <c r="I811" s="7">
        <v>36</v>
      </c>
      <c r="J811" s="7">
        <v>36</v>
      </c>
      <c r="K811" s="7">
        <v>66794</v>
      </c>
      <c r="L811" s="7">
        <v>9</v>
      </c>
      <c r="M811" s="7">
        <v>17.3299998</v>
      </c>
      <c r="N811" s="7">
        <v>1</v>
      </c>
      <c r="O811" s="7">
        <v>1</v>
      </c>
      <c r="P811" s="2">
        <f t="shared" si="84"/>
        <v>1.3474264155463066E-2</v>
      </c>
      <c r="Q811" s="3">
        <f t="shared" si="85"/>
        <v>1.9255555333333332</v>
      </c>
      <c r="R811" s="4">
        <f t="shared" si="90"/>
        <v>0.1111111111111111</v>
      </c>
      <c r="S811" s="3">
        <f t="shared" si="86"/>
        <v>17.3299998</v>
      </c>
      <c r="T811" s="4">
        <f t="shared" si="87"/>
        <v>1</v>
      </c>
      <c r="U811" s="3">
        <f t="shared" si="88"/>
        <v>0.25945443902146897</v>
      </c>
      <c r="V811" s="5">
        <f t="shared" si="89"/>
        <v>1.8851702583401071</v>
      </c>
    </row>
    <row r="812" spans="1:22" x14ac:dyDescent="0.3">
      <c r="A812">
        <v>1121687</v>
      </c>
      <c r="B812" s="1">
        <v>42974</v>
      </c>
      <c r="C812" s="1">
        <v>42974</v>
      </c>
      <c r="D812" s="6" t="s">
        <v>28</v>
      </c>
      <c r="E812" s="6" t="s">
        <v>28</v>
      </c>
      <c r="F812" s="8" t="s">
        <v>26</v>
      </c>
      <c r="G812" s="8" t="s">
        <v>23</v>
      </c>
      <c r="H812" s="8">
        <v>31</v>
      </c>
      <c r="I812" s="8">
        <v>37</v>
      </c>
      <c r="J812" s="8">
        <v>36</v>
      </c>
      <c r="K812" s="8">
        <v>118882</v>
      </c>
      <c r="L812" s="8">
        <v>19</v>
      </c>
      <c r="M812" s="8">
        <v>32.309999939999997</v>
      </c>
      <c r="N812" s="8">
        <v>2</v>
      </c>
      <c r="O812" s="8">
        <v>1</v>
      </c>
      <c r="P812" s="2">
        <f t="shared" si="84"/>
        <v>1.5982234484614995E-2</v>
      </c>
      <c r="Q812" s="3">
        <f t="shared" si="85"/>
        <v>1.7005263126315788</v>
      </c>
      <c r="R812" s="4">
        <f t="shared" si="90"/>
        <v>5.2631578947368418E-2</v>
      </c>
      <c r="S812" s="3">
        <f t="shared" si="86"/>
        <v>32.309999939999997</v>
      </c>
      <c r="T812" s="4">
        <f t="shared" si="87"/>
        <v>0.5</v>
      </c>
      <c r="U812" s="3">
        <f t="shared" si="88"/>
        <v>0.27178210275735598</v>
      </c>
      <c r="V812" s="5">
        <f t="shared" si="89"/>
        <v>0.54750851417055135</v>
      </c>
    </row>
    <row r="813" spans="1:22" x14ac:dyDescent="0.3">
      <c r="A813">
        <v>1121689</v>
      </c>
      <c r="B813" s="1">
        <v>42974</v>
      </c>
      <c r="C813" s="1">
        <v>42974</v>
      </c>
      <c r="D813" s="6" t="s">
        <v>28</v>
      </c>
      <c r="E813" s="6" t="s">
        <v>28</v>
      </c>
      <c r="F813" s="7" t="s">
        <v>26</v>
      </c>
      <c r="G813" s="7" t="s">
        <v>23</v>
      </c>
      <c r="H813" s="7">
        <v>31</v>
      </c>
      <c r="I813" s="7">
        <v>37</v>
      </c>
      <c r="J813" s="7">
        <v>35</v>
      </c>
      <c r="K813" s="7">
        <v>148010</v>
      </c>
      <c r="L813" s="7">
        <v>24</v>
      </c>
      <c r="M813" s="7">
        <v>41.969999430000001</v>
      </c>
      <c r="N813" s="7">
        <v>1</v>
      </c>
      <c r="O813" s="7">
        <v>0</v>
      </c>
      <c r="P813" s="2">
        <f t="shared" si="84"/>
        <v>1.6215120599959464E-2</v>
      </c>
      <c r="Q813" s="3">
        <f t="shared" si="85"/>
        <v>1.7487499762500001</v>
      </c>
      <c r="R813" s="4">
        <f t="shared" si="90"/>
        <v>0</v>
      </c>
      <c r="S813" s="3">
        <f t="shared" si="86"/>
        <v>0</v>
      </c>
      <c r="T813" s="4">
        <f t="shared" si="87"/>
        <v>0</v>
      </c>
      <c r="U813" s="3">
        <f t="shared" si="88"/>
        <v>0.28356191764069999</v>
      </c>
      <c r="V813" s="5">
        <f t="shared" si="89"/>
        <v>-1</v>
      </c>
    </row>
    <row r="814" spans="1:22" x14ac:dyDescent="0.3">
      <c r="A814">
        <v>1121691</v>
      </c>
      <c r="B814" s="1">
        <v>42973</v>
      </c>
      <c r="C814" s="1">
        <v>42973</v>
      </c>
      <c r="D814" s="6" t="s">
        <v>28</v>
      </c>
      <c r="E814" s="6" t="s">
        <v>28</v>
      </c>
      <c r="F814" s="8" t="s">
        <v>26</v>
      </c>
      <c r="G814" s="8" t="s">
        <v>23</v>
      </c>
      <c r="H814" s="8">
        <v>32</v>
      </c>
      <c r="I814" s="8">
        <v>34</v>
      </c>
      <c r="J814" s="8">
        <v>33</v>
      </c>
      <c r="K814" s="8">
        <v>932890</v>
      </c>
      <c r="L814" s="8">
        <v>197</v>
      </c>
      <c r="M814" s="8">
        <v>352.44999890000003</v>
      </c>
      <c r="N814" s="8">
        <v>3</v>
      </c>
      <c r="O814" s="8">
        <v>1</v>
      </c>
      <c r="P814" s="2">
        <f t="shared" si="84"/>
        <v>2.1117173514562274E-2</v>
      </c>
      <c r="Q814" s="3">
        <f t="shared" si="85"/>
        <v>1.7890862888324874</v>
      </c>
      <c r="R814" s="4">
        <f t="shared" si="90"/>
        <v>5.076142131979695E-3</v>
      </c>
      <c r="S814" s="3">
        <f t="shared" si="86"/>
        <v>352.44999890000003</v>
      </c>
      <c r="T814" s="4">
        <f t="shared" si="87"/>
        <v>0.33333333333333331</v>
      </c>
      <c r="U814" s="3">
        <f t="shared" si="88"/>
        <v>0.37780445593799916</v>
      </c>
      <c r="V814" s="5">
        <f t="shared" si="89"/>
        <v>-0.85813590535948214</v>
      </c>
    </row>
    <row r="815" spans="1:22" x14ac:dyDescent="0.3">
      <c r="A815">
        <v>1121692</v>
      </c>
      <c r="B815" s="1">
        <v>42973</v>
      </c>
      <c r="C815" s="1">
        <v>42973</v>
      </c>
      <c r="D815" s="6" t="s">
        <v>28</v>
      </c>
      <c r="E815" s="6" t="s">
        <v>28</v>
      </c>
      <c r="F815" s="7" t="s">
        <v>26</v>
      </c>
      <c r="G815" s="7" t="s">
        <v>23</v>
      </c>
      <c r="H815" s="7">
        <v>32</v>
      </c>
      <c r="I815" s="7">
        <v>34</v>
      </c>
      <c r="J815" s="7">
        <v>37</v>
      </c>
      <c r="K815" s="7">
        <v>718359</v>
      </c>
      <c r="L815" s="7">
        <v>147</v>
      </c>
      <c r="M815" s="7">
        <v>264.58999970000002</v>
      </c>
      <c r="N815" s="7">
        <v>4</v>
      </c>
      <c r="O815" s="7">
        <v>1</v>
      </c>
      <c r="P815" s="2">
        <f t="shared" si="84"/>
        <v>2.0463305951481086E-2</v>
      </c>
      <c r="Q815" s="3">
        <f t="shared" si="85"/>
        <v>1.7999319707482995</v>
      </c>
      <c r="R815" s="4">
        <f t="shared" si="90"/>
        <v>6.8027210884353739E-3</v>
      </c>
      <c r="S815" s="3">
        <f t="shared" si="86"/>
        <v>264.58999970000002</v>
      </c>
      <c r="T815" s="4">
        <f t="shared" si="87"/>
        <v>0.25</v>
      </c>
      <c r="U815" s="3">
        <f t="shared" si="88"/>
        <v>0.36832558609274757</v>
      </c>
      <c r="V815" s="5">
        <f t="shared" si="89"/>
        <v>-0.81102838332253113</v>
      </c>
    </row>
    <row r="816" spans="1:22" x14ac:dyDescent="0.3">
      <c r="A816">
        <v>1121693</v>
      </c>
      <c r="B816" s="1">
        <v>42973</v>
      </c>
      <c r="C816" s="1">
        <v>42973</v>
      </c>
      <c r="D816" s="6" t="s">
        <v>28</v>
      </c>
      <c r="E816" s="6" t="s">
        <v>28</v>
      </c>
      <c r="F816" s="8" t="s">
        <v>26</v>
      </c>
      <c r="G816" s="8" t="s">
        <v>23</v>
      </c>
      <c r="H816" s="8">
        <v>32</v>
      </c>
      <c r="I816" s="8">
        <v>35</v>
      </c>
      <c r="J816" s="8">
        <v>35</v>
      </c>
      <c r="K816" s="8">
        <v>433658</v>
      </c>
      <c r="L816" s="8">
        <v>82</v>
      </c>
      <c r="M816" s="8">
        <v>158.59999980000001</v>
      </c>
      <c r="N816" s="8">
        <v>5</v>
      </c>
      <c r="O816" s="8">
        <v>2</v>
      </c>
      <c r="P816" s="2">
        <f t="shared" si="84"/>
        <v>1.8908909786052603E-2</v>
      </c>
      <c r="Q816" s="3">
        <f t="shared" si="85"/>
        <v>1.9341463390243903</v>
      </c>
      <c r="R816" s="4">
        <f t="shared" si="90"/>
        <v>2.4390243902439025E-2</v>
      </c>
      <c r="S816" s="3">
        <f t="shared" si="86"/>
        <v>79.299999900000003</v>
      </c>
      <c r="T816" s="4">
        <f t="shared" si="87"/>
        <v>0.4</v>
      </c>
      <c r="U816" s="3">
        <f t="shared" si="88"/>
        <v>0.36572598637636111</v>
      </c>
      <c r="V816" s="5">
        <f t="shared" si="89"/>
        <v>-0.3694829752452497</v>
      </c>
    </row>
    <row r="817" spans="1:22" x14ac:dyDescent="0.3">
      <c r="A817">
        <v>1121695</v>
      </c>
      <c r="B817" s="1">
        <v>42973</v>
      </c>
      <c r="C817" s="1">
        <v>42973</v>
      </c>
      <c r="D817" s="6" t="s">
        <v>28</v>
      </c>
      <c r="E817" s="6" t="s">
        <v>28</v>
      </c>
      <c r="F817" s="7" t="s">
        <v>26</v>
      </c>
      <c r="G817" s="7" t="s">
        <v>23</v>
      </c>
      <c r="H817" s="7">
        <v>32</v>
      </c>
      <c r="I817" s="7">
        <v>34</v>
      </c>
      <c r="J817" s="7">
        <v>38</v>
      </c>
      <c r="K817" s="7">
        <v>29455</v>
      </c>
      <c r="L817" s="7">
        <v>3</v>
      </c>
      <c r="M817" s="7">
        <v>4.7699999809999998</v>
      </c>
      <c r="N817" s="7">
        <v>1</v>
      </c>
      <c r="O817" s="7">
        <v>0</v>
      </c>
      <c r="P817" s="2">
        <f t="shared" si="84"/>
        <v>1.0185028008827025E-2</v>
      </c>
      <c r="Q817" s="3">
        <f t="shared" si="85"/>
        <v>1.5899999936666667</v>
      </c>
      <c r="R817" s="4">
        <f t="shared" si="90"/>
        <v>0</v>
      </c>
      <c r="S817" s="3">
        <f t="shared" si="86"/>
        <v>0</v>
      </c>
      <c r="T817" s="4">
        <f t="shared" si="87"/>
        <v>0</v>
      </c>
      <c r="U817" s="3">
        <f t="shared" si="88"/>
        <v>0.16194194469529791</v>
      </c>
      <c r="V817" s="5">
        <f t="shared" si="89"/>
        <v>-1</v>
      </c>
    </row>
    <row r="818" spans="1:22" x14ac:dyDescent="0.3">
      <c r="A818">
        <v>1121701</v>
      </c>
      <c r="B818" s="1">
        <v>42973</v>
      </c>
      <c r="C818" s="1">
        <v>42973</v>
      </c>
      <c r="D818" s="6" t="s">
        <v>28</v>
      </c>
      <c r="E818" s="6" t="s">
        <v>28</v>
      </c>
      <c r="F818" s="8" t="s">
        <v>26</v>
      </c>
      <c r="G818" s="8" t="s">
        <v>23</v>
      </c>
      <c r="H818" s="8">
        <v>36</v>
      </c>
      <c r="I818" s="8">
        <v>38</v>
      </c>
      <c r="J818" s="8">
        <v>38</v>
      </c>
      <c r="K818" s="8">
        <v>23973</v>
      </c>
      <c r="L818" s="8">
        <v>3</v>
      </c>
      <c r="M818" s="8">
        <v>4.8200000520000001</v>
      </c>
      <c r="N818" s="8">
        <v>1</v>
      </c>
      <c r="O818" s="8">
        <v>1</v>
      </c>
      <c r="P818" s="2">
        <f t="shared" si="84"/>
        <v>1.2514078338130395E-2</v>
      </c>
      <c r="Q818" s="3">
        <f t="shared" si="85"/>
        <v>1.6066666840000001</v>
      </c>
      <c r="R818" s="4">
        <f t="shared" si="90"/>
        <v>0.33333333333333331</v>
      </c>
      <c r="S818" s="3">
        <f t="shared" si="86"/>
        <v>4.8200000520000001</v>
      </c>
      <c r="T818" s="4">
        <f t="shared" si="87"/>
        <v>1</v>
      </c>
      <c r="U818" s="3">
        <f t="shared" si="88"/>
        <v>0.20105952746840194</v>
      </c>
      <c r="V818" s="5">
        <f t="shared" si="89"/>
        <v>9.3734438714898172</v>
      </c>
    </row>
    <row r="819" spans="1:22" x14ac:dyDescent="0.3">
      <c r="A819">
        <v>1121705</v>
      </c>
      <c r="B819" s="1">
        <v>42973</v>
      </c>
      <c r="C819" s="1">
        <v>42973</v>
      </c>
      <c r="D819" s="6" t="s">
        <v>28</v>
      </c>
      <c r="E819" s="6" t="s">
        <v>28</v>
      </c>
      <c r="F819" s="7" t="s">
        <v>26</v>
      </c>
      <c r="G819" s="7" t="s">
        <v>23</v>
      </c>
      <c r="H819" s="7">
        <v>63</v>
      </c>
      <c r="I819" s="7">
        <v>68</v>
      </c>
      <c r="J819" s="7">
        <v>67</v>
      </c>
      <c r="K819" s="7">
        <v>126480</v>
      </c>
      <c r="L819" s="7">
        <v>25</v>
      </c>
      <c r="M819" s="7">
        <v>37.259999989999997</v>
      </c>
      <c r="N819" s="7">
        <v>1</v>
      </c>
      <c r="O819" s="7">
        <v>1</v>
      </c>
      <c r="P819" s="2">
        <f t="shared" si="84"/>
        <v>1.9765970904490827E-2</v>
      </c>
      <c r="Q819" s="3">
        <f t="shared" si="85"/>
        <v>1.4903999995999999</v>
      </c>
      <c r="R819" s="4">
        <f t="shared" si="90"/>
        <v>0.04</v>
      </c>
      <c r="S819" s="3">
        <f t="shared" si="86"/>
        <v>37.259999989999997</v>
      </c>
      <c r="T819" s="4">
        <f t="shared" si="87"/>
        <v>1</v>
      </c>
      <c r="U819" s="3">
        <f t="shared" si="88"/>
        <v>0.29459203028146741</v>
      </c>
      <c r="V819" s="5">
        <f t="shared" si="89"/>
        <v>0.34192163213685506</v>
      </c>
    </row>
    <row r="820" spans="1:22" x14ac:dyDescent="0.3">
      <c r="A820">
        <v>1121706</v>
      </c>
      <c r="B820" s="1">
        <v>42973</v>
      </c>
      <c r="C820" s="1">
        <v>42973</v>
      </c>
      <c r="D820" s="6" t="s">
        <v>28</v>
      </c>
      <c r="E820" s="6" t="s">
        <v>28</v>
      </c>
      <c r="F820" s="8" t="s">
        <v>26</v>
      </c>
      <c r="G820" s="8" t="s">
        <v>23</v>
      </c>
      <c r="H820" s="8">
        <v>63</v>
      </c>
      <c r="I820" s="8">
        <v>64</v>
      </c>
      <c r="J820" s="8">
        <v>67</v>
      </c>
      <c r="K820" s="8">
        <v>138959</v>
      </c>
      <c r="L820" s="8">
        <v>28</v>
      </c>
      <c r="M820" s="8">
        <v>39.520000699999997</v>
      </c>
      <c r="N820" s="8">
        <v>1</v>
      </c>
      <c r="O820" s="8">
        <v>0</v>
      </c>
      <c r="P820" s="2">
        <f t="shared" si="84"/>
        <v>2.0149828366640518E-2</v>
      </c>
      <c r="Q820" s="3">
        <f t="shared" si="85"/>
        <v>1.4114285964285713</v>
      </c>
      <c r="R820" s="4">
        <f t="shared" si="90"/>
        <v>0</v>
      </c>
      <c r="S820" s="3">
        <f t="shared" si="86"/>
        <v>0</v>
      </c>
      <c r="T820" s="4">
        <f t="shared" si="87"/>
        <v>0</v>
      </c>
      <c r="U820" s="3">
        <f t="shared" si="88"/>
        <v>0.28440043969804041</v>
      </c>
      <c r="V820" s="5">
        <f t="shared" si="89"/>
        <v>-1</v>
      </c>
    </row>
    <row r="821" spans="1:22" x14ac:dyDescent="0.3">
      <c r="A821">
        <v>1121708</v>
      </c>
      <c r="B821" s="1">
        <v>42973</v>
      </c>
      <c r="C821" s="1">
        <v>42973</v>
      </c>
      <c r="D821" s="6" t="s">
        <v>28</v>
      </c>
      <c r="E821" s="6" t="s">
        <v>28</v>
      </c>
      <c r="F821" s="7" t="s">
        <v>26</v>
      </c>
      <c r="G821" s="7" t="s">
        <v>23</v>
      </c>
      <c r="H821" s="7">
        <v>63</v>
      </c>
      <c r="I821" s="7">
        <v>65</v>
      </c>
      <c r="J821" s="7">
        <v>68</v>
      </c>
      <c r="K821" s="7">
        <v>68829</v>
      </c>
      <c r="L821" s="7">
        <v>12</v>
      </c>
      <c r="M821" s="7">
        <v>19.47999978</v>
      </c>
      <c r="N821" s="7">
        <v>1</v>
      </c>
      <c r="O821" s="7">
        <v>0</v>
      </c>
      <c r="P821" s="2">
        <f t="shared" si="84"/>
        <v>1.7434511615743366E-2</v>
      </c>
      <c r="Q821" s="3">
        <f t="shared" si="85"/>
        <v>1.623333315</v>
      </c>
      <c r="R821" s="4">
        <f t="shared" si="90"/>
        <v>0</v>
      </c>
      <c r="S821" s="3">
        <f t="shared" si="86"/>
        <v>0</v>
      </c>
      <c r="T821" s="4">
        <f t="shared" si="87"/>
        <v>0</v>
      </c>
      <c r="U821" s="3">
        <f t="shared" si="88"/>
        <v>0.28302023536590681</v>
      </c>
      <c r="V821" s="5">
        <f t="shared" si="89"/>
        <v>-1</v>
      </c>
    </row>
    <row r="822" spans="1:22" x14ac:dyDescent="0.3">
      <c r="A822">
        <v>1121711</v>
      </c>
      <c r="B822" s="1">
        <v>42973</v>
      </c>
      <c r="C822" s="1">
        <v>42973</v>
      </c>
      <c r="D822" s="6" t="s">
        <v>28</v>
      </c>
      <c r="E822" s="6" t="s">
        <v>28</v>
      </c>
      <c r="F822" s="8" t="s">
        <v>26</v>
      </c>
      <c r="G822" s="8" t="s">
        <v>23</v>
      </c>
      <c r="H822" s="8">
        <v>64</v>
      </c>
      <c r="I822" s="8">
        <v>69</v>
      </c>
      <c r="J822" s="8">
        <v>65</v>
      </c>
      <c r="K822" s="8">
        <v>49916</v>
      </c>
      <c r="L822" s="8">
        <v>10</v>
      </c>
      <c r="M822" s="8">
        <v>16.38</v>
      </c>
      <c r="N822" s="8">
        <v>1</v>
      </c>
      <c r="O822" s="8">
        <v>1</v>
      </c>
      <c r="P822" s="2">
        <f t="shared" si="84"/>
        <v>2.0033656542992228E-2</v>
      </c>
      <c r="Q822" s="3">
        <f t="shared" si="85"/>
        <v>1.6379999999999999</v>
      </c>
      <c r="R822" s="4">
        <f t="shared" si="90"/>
        <v>0.1</v>
      </c>
      <c r="S822" s="3">
        <f t="shared" si="86"/>
        <v>16.38</v>
      </c>
      <c r="T822" s="4">
        <f t="shared" si="87"/>
        <v>1</v>
      </c>
      <c r="U822" s="3">
        <f t="shared" si="88"/>
        <v>0.32815129417421268</v>
      </c>
      <c r="V822" s="5">
        <f t="shared" si="89"/>
        <v>2.0525030525030528</v>
      </c>
    </row>
    <row r="823" spans="1:22" x14ac:dyDescent="0.3">
      <c r="A823">
        <v>1121716</v>
      </c>
      <c r="B823" s="1">
        <v>42973</v>
      </c>
      <c r="C823" s="1">
        <v>42973</v>
      </c>
      <c r="D823" s="6" t="s">
        <v>28</v>
      </c>
      <c r="E823" s="6" t="s">
        <v>28</v>
      </c>
      <c r="F823" s="7" t="s">
        <v>26</v>
      </c>
      <c r="G823" s="7" t="s">
        <v>23</v>
      </c>
      <c r="H823" s="7">
        <v>65</v>
      </c>
      <c r="I823" s="7">
        <v>67</v>
      </c>
      <c r="J823" s="7">
        <v>67</v>
      </c>
      <c r="K823" s="7">
        <v>76014</v>
      </c>
      <c r="L823" s="7">
        <v>16</v>
      </c>
      <c r="M823" s="7">
        <v>22.670000309999999</v>
      </c>
      <c r="N823" s="7">
        <v>1</v>
      </c>
      <c r="O823" s="7">
        <v>1</v>
      </c>
      <c r="P823" s="2">
        <f t="shared" si="84"/>
        <v>2.1048754176862156E-2</v>
      </c>
      <c r="Q823" s="3">
        <f t="shared" si="85"/>
        <v>1.4168750193749999</v>
      </c>
      <c r="R823" s="4">
        <f t="shared" si="90"/>
        <v>6.25E-2</v>
      </c>
      <c r="S823" s="3">
        <f t="shared" si="86"/>
        <v>22.670000309999999</v>
      </c>
      <c r="T823" s="4">
        <f t="shared" si="87"/>
        <v>1</v>
      </c>
      <c r="U823" s="3">
        <f t="shared" si="88"/>
        <v>0.2982345398216118</v>
      </c>
      <c r="V823" s="5">
        <f t="shared" si="89"/>
        <v>1.2055579760157491</v>
      </c>
    </row>
    <row r="824" spans="1:22" x14ac:dyDescent="0.3">
      <c r="A824">
        <v>1121723</v>
      </c>
      <c r="B824" s="1">
        <v>42973</v>
      </c>
      <c r="C824" s="1">
        <v>42973</v>
      </c>
      <c r="D824" s="6" t="s">
        <v>28</v>
      </c>
      <c r="E824" s="6" t="s">
        <v>28</v>
      </c>
      <c r="F824" s="8" t="s">
        <v>26</v>
      </c>
      <c r="G824" s="8" t="s">
        <v>23</v>
      </c>
      <c r="H824" s="8">
        <v>2</v>
      </c>
      <c r="I824" s="8">
        <v>5</v>
      </c>
      <c r="J824" s="8">
        <v>4</v>
      </c>
      <c r="K824" s="8">
        <v>50947</v>
      </c>
      <c r="L824" s="8">
        <v>10</v>
      </c>
      <c r="M824" s="8">
        <v>15.99000025</v>
      </c>
      <c r="N824" s="8">
        <v>1</v>
      </c>
      <c r="O824" s="8">
        <v>0</v>
      </c>
      <c r="P824" s="2">
        <f t="shared" si="84"/>
        <v>1.9628241113313835E-2</v>
      </c>
      <c r="Q824" s="3">
        <f t="shared" si="85"/>
        <v>1.599000025</v>
      </c>
      <c r="R824" s="4">
        <f t="shared" si="90"/>
        <v>0</v>
      </c>
      <c r="S824" s="3">
        <f t="shared" si="86"/>
        <v>0</v>
      </c>
      <c r="T824" s="4">
        <f t="shared" si="87"/>
        <v>0</v>
      </c>
      <c r="U824" s="3">
        <f t="shared" si="88"/>
        <v>0.3138555803089485</v>
      </c>
      <c r="V824" s="5">
        <f t="shared" si="89"/>
        <v>-1</v>
      </c>
    </row>
    <row r="825" spans="1:22" x14ac:dyDescent="0.3">
      <c r="A825">
        <v>1121733</v>
      </c>
      <c r="B825" s="1">
        <v>42974</v>
      </c>
      <c r="C825" s="1">
        <v>42974</v>
      </c>
      <c r="D825" s="6" t="s">
        <v>28</v>
      </c>
      <c r="E825" s="6" t="s">
        <v>28</v>
      </c>
      <c r="F825" s="7" t="s">
        <v>26</v>
      </c>
      <c r="G825" s="7" t="s">
        <v>23</v>
      </c>
      <c r="H825" s="7">
        <v>66</v>
      </c>
      <c r="I825" s="7">
        <v>71</v>
      </c>
      <c r="J825" s="7">
        <v>70</v>
      </c>
      <c r="K825" s="7">
        <v>55536</v>
      </c>
      <c r="L825" s="7">
        <v>11</v>
      </c>
      <c r="M825" s="7">
        <v>17.04999995</v>
      </c>
      <c r="N825" s="7">
        <v>1</v>
      </c>
      <c r="O825" s="7">
        <v>0</v>
      </c>
      <c r="P825" s="2">
        <f t="shared" si="84"/>
        <v>1.9806972054163065E-2</v>
      </c>
      <c r="Q825" s="3">
        <f t="shared" si="85"/>
        <v>1.5499999954545454</v>
      </c>
      <c r="R825" s="4">
        <f t="shared" si="90"/>
        <v>0</v>
      </c>
      <c r="S825" s="3">
        <f t="shared" si="86"/>
        <v>0</v>
      </c>
      <c r="T825" s="4">
        <f t="shared" si="87"/>
        <v>0</v>
      </c>
      <c r="U825" s="3">
        <f t="shared" si="88"/>
        <v>0.30700806593921059</v>
      </c>
      <c r="V825" s="5">
        <f t="shared" si="89"/>
        <v>-1</v>
      </c>
    </row>
    <row r="826" spans="1:22" x14ac:dyDescent="0.3">
      <c r="A826">
        <v>1121741</v>
      </c>
      <c r="B826" s="1">
        <v>42974</v>
      </c>
      <c r="C826" s="1">
        <v>42974</v>
      </c>
      <c r="D826" s="6" t="s">
        <v>28</v>
      </c>
      <c r="E826" s="6" t="s">
        <v>28</v>
      </c>
      <c r="F826" s="8" t="s">
        <v>22</v>
      </c>
      <c r="G826" s="8" t="s">
        <v>27</v>
      </c>
      <c r="H826" s="8">
        <v>10</v>
      </c>
      <c r="I826" s="8">
        <v>13</v>
      </c>
      <c r="J826" s="8">
        <v>14</v>
      </c>
      <c r="K826" s="8">
        <v>318042</v>
      </c>
      <c r="L826" s="8">
        <v>46</v>
      </c>
      <c r="M826" s="8">
        <v>64.409999970000001</v>
      </c>
      <c r="N826" s="8">
        <v>8</v>
      </c>
      <c r="O826" s="8">
        <v>4</v>
      </c>
      <c r="P826" s="2">
        <f t="shared" si="84"/>
        <v>1.4463498531640476E-2</v>
      </c>
      <c r="Q826" s="3">
        <f t="shared" si="85"/>
        <v>1.400217390652174</v>
      </c>
      <c r="R826" s="4">
        <f t="shared" si="90"/>
        <v>8.6956521739130432E-2</v>
      </c>
      <c r="S826" s="3">
        <f t="shared" si="86"/>
        <v>16.1024999925</v>
      </c>
      <c r="T826" s="4">
        <f t="shared" si="87"/>
        <v>0.5</v>
      </c>
      <c r="U826" s="3">
        <f t="shared" si="88"/>
        <v>0.20252042173675175</v>
      </c>
      <c r="V826" s="5">
        <f t="shared" si="89"/>
        <v>2.105107903945866</v>
      </c>
    </row>
    <row r="827" spans="1:22" x14ac:dyDescent="0.3">
      <c r="A827">
        <v>1121742</v>
      </c>
      <c r="B827" s="1">
        <v>42975</v>
      </c>
      <c r="C827" s="1">
        <v>42975</v>
      </c>
      <c r="D827" s="6" t="s">
        <v>28</v>
      </c>
      <c r="E827" s="6" t="s">
        <v>28</v>
      </c>
      <c r="F827" s="7" t="s">
        <v>22</v>
      </c>
      <c r="G827" s="7" t="s">
        <v>27</v>
      </c>
      <c r="H827" s="7">
        <v>10</v>
      </c>
      <c r="I827" s="7">
        <v>14</v>
      </c>
      <c r="J827" s="7">
        <v>11</v>
      </c>
      <c r="K827" s="7">
        <v>213016</v>
      </c>
      <c r="L827" s="7">
        <v>30</v>
      </c>
      <c r="M827" s="7">
        <v>44.219999549999997</v>
      </c>
      <c r="N827" s="7">
        <v>8</v>
      </c>
      <c r="O827" s="7">
        <v>2</v>
      </c>
      <c r="P827" s="2">
        <f t="shared" si="84"/>
        <v>1.4083449130581739E-2</v>
      </c>
      <c r="Q827" s="3">
        <f t="shared" si="85"/>
        <v>1.4739999849999998</v>
      </c>
      <c r="R827" s="4">
        <f t="shared" si="90"/>
        <v>6.6666666666666666E-2</v>
      </c>
      <c r="S827" s="3">
        <f t="shared" si="86"/>
        <v>22.109999774999999</v>
      </c>
      <c r="T827" s="4">
        <f t="shared" si="87"/>
        <v>0.25</v>
      </c>
      <c r="U827" s="3">
        <f t="shared" si="88"/>
        <v>0.20759003807225745</v>
      </c>
      <c r="V827" s="5">
        <f t="shared" si="89"/>
        <v>1.2614201948810289</v>
      </c>
    </row>
    <row r="828" spans="1:22" x14ac:dyDescent="0.3">
      <c r="A828">
        <v>1121745</v>
      </c>
      <c r="B828" s="1">
        <v>42975</v>
      </c>
      <c r="C828" s="1">
        <v>42975</v>
      </c>
      <c r="D828" s="6" t="s">
        <v>28</v>
      </c>
      <c r="E828" s="6" t="s">
        <v>28</v>
      </c>
      <c r="F828" s="8" t="s">
        <v>22</v>
      </c>
      <c r="G828" s="8" t="s">
        <v>27</v>
      </c>
      <c r="H828" s="8">
        <v>15</v>
      </c>
      <c r="I828" s="8">
        <v>19</v>
      </c>
      <c r="J828" s="8">
        <v>16</v>
      </c>
      <c r="K828" s="8">
        <v>182265</v>
      </c>
      <c r="L828" s="8">
        <v>27</v>
      </c>
      <c r="M828" s="8">
        <v>38.180000069999998</v>
      </c>
      <c r="N828" s="8">
        <v>2</v>
      </c>
      <c r="O828" s="8">
        <v>1</v>
      </c>
      <c r="P828" s="2">
        <f t="shared" si="84"/>
        <v>1.4813595588840425E-2</v>
      </c>
      <c r="Q828" s="3">
        <f t="shared" si="85"/>
        <v>1.4140740766666666</v>
      </c>
      <c r="R828" s="4">
        <f t="shared" si="90"/>
        <v>3.7037037037037035E-2</v>
      </c>
      <c r="S828" s="3">
        <f t="shared" si="86"/>
        <v>38.180000069999998</v>
      </c>
      <c r="T828" s="4">
        <f t="shared" si="87"/>
        <v>0.5</v>
      </c>
      <c r="U828" s="3">
        <f t="shared" si="88"/>
        <v>0.20947521504402927</v>
      </c>
      <c r="V828" s="5">
        <f t="shared" si="89"/>
        <v>0.30958616836901443</v>
      </c>
    </row>
    <row r="829" spans="1:22" x14ac:dyDescent="0.3">
      <c r="A829">
        <v>1121746</v>
      </c>
      <c r="B829" s="1">
        <v>42975</v>
      </c>
      <c r="C829" s="1">
        <v>42975</v>
      </c>
      <c r="D829" s="6" t="s">
        <v>28</v>
      </c>
      <c r="E829" s="6" t="s">
        <v>28</v>
      </c>
      <c r="F829" s="7" t="s">
        <v>22</v>
      </c>
      <c r="G829" s="7" t="s">
        <v>27</v>
      </c>
      <c r="H829" s="7">
        <v>15</v>
      </c>
      <c r="I829" s="7">
        <v>17</v>
      </c>
      <c r="J829" s="7">
        <v>18</v>
      </c>
      <c r="K829" s="7">
        <v>1117371</v>
      </c>
      <c r="L829" s="7">
        <v>177</v>
      </c>
      <c r="M829" s="7">
        <v>268.05000200000001</v>
      </c>
      <c r="N829" s="7">
        <v>26</v>
      </c>
      <c r="O829" s="7">
        <v>5</v>
      </c>
      <c r="P829" s="2">
        <f t="shared" si="84"/>
        <v>1.5840754771691768E-2</v>
      </c>
      <c r="Q829" s="3">
        <f t="shared" si="85"/>
        <v>1.5144067909604519</v>
      </c>
      <c r="R829" s="4">
        <f t="shared" si="90"/>
        <v>2.8248587570621469E-2</v>
      </c>
      <c r="S829" s="3">
        <f t="shared" si="86"/>
        <v>53.610000400000004</v>
      </c>
      <c r="T829" s="4">
        <f t="shared" si="87"/>
        <v>0.19230769230769232</v>
      </c>
      <c r="U829" s="3">
        <f t="shared" si="88"/>
        <v>0.23989346600189193</v>
      </c>
      <c r="V829" s="5">
        <f t="shared" si="89"/>
        <v>-6.7338190133645309E-2</v>
      </c>
    </row>
    <row r="830" spans="1:22" x14ac:dyDescent="0.3">
      <c r="A830">
        <v>1121749</v>
      </c>
      <c r="B830" s="1">
        <v>42975</v>
      </c>
      <c r="C830" s="1">
        <v>42975</v>
      </c>
      <c r="D830" s="6" t="s">
        <v>28</v>
      </c>
      <c r="E830" s="6" t="s">
        <v>28</v>
      </c>
      <c r="F830" s="8" t="s">
        <v>22</v>
      </c>
      <c r="G830" s="8" t="s">
        <v>27</v>
      </c>
      <c r="H830" s="8">
        <v>15</v>
      </c>
      <c r="I830" s="8">
        <v>17</v>
      </c>
      <c r="J830" s="8">
        <v>17</v>
      </c>
      <c r="K830" s="8">
        <v>333345</v>
      </c>
      <c r="L830" s="8">
        <v>52</v>
      </c>
      <c r="M830" s="8">
        <v>77.590000270000004</v>
      </c>
      <c r="N830" s="8">
        <v>5</v>
      </c>
      <c r="O830" s="8">
        <v>1</v>
      </c>
      <c r="P830" s="2">
        <f t="shared" si="84"/>
        <v>1.5599454019109331E-2</v>
      </c>
      <c r="Q830" s="3">
        <f t="shared" si="85"/>
        <v>1.4921153898076924</v>
      </c>
      <c r="R830" s="4">
        <f t="shared" si="90"/>
        <v>1.9230769230769232E-2</v>
      </c>
      <c r="S830" s="3">
        <f t="shared" si="86"/>
        <v>77.590000270000004</v>
      </c>
      <c r="T830" s="4">
        <f t="shared" si="87"/>
        <v>0.2</v>
      </c>
      <c r="U830" s="3">
        <f t="shared" si="88"/>
        <v>0.23276185414510495</v>
      </c>
      <c r="V830" s="5">
        <f t="shared" si="89"/>
        <v>-0.355587062430616</v>
      </c>
    </row>
    <row r="831" spans="1:22" x14ac:dyDescent="0.3">
      <c r="A831">
        <v>1121751</v>
      </c>
      <c r="B831" s="1">
        <v>42976</v>
      </c>
      <c r="C831" s="1">
        <v>42976</v>
      </c>
      <c r="D831" s="6" t="s">
        <v>28</v>
      </c>
      <c r="E831" s="6" t="s">
        <v>28</v>
      </c>
      <c r="F831" s="7" t="s">
        <v>22</v>
      </c>
      <c r="G831" s="7" t="s">
        <v>27</v>
      </c>
      <c r="H831" s="7">
        <v>16</v>
      </c>
      <c r="I831" s="7">
        <v>17</v>
      </c>
      <c r="J831" s="7">
        <v>21</v>
      </c>
      <c r="K831" s="7">
        <v>275930</v>
      </c>
      <c r="L831" s="7">
        <v>30</v>
      </c>
      <c r="M831" s="7">
        <v>46.779999969999999</v>
      </c>
      <c r="N831" s="7">
        <v>5</v>
      </c>
      <c r="O831" s="7">
        <v>2</v>
      </c>
      <c r="P831" s="2">
        <f t="shared" si="84"/>
        <v>1.0872322690537456E-2</v>
      </c>
      <c r="Q831" s="3">
        <f t="shared" si="85"/>
        <v>1.5593333323333334</v>
      </c>
      <c r="R831" s="4">
        <f t="shared" si="90"/>
        <v>6.6666666666666666E-2</v>
      </c>
      <c r="S831" s="3">
        <f t="shared" si="86"/>
        <v>23.389999984999999</v>
      </c>
      <c r="T831" s="4">
        <f t="shared" si="87"/>
        <v>0.4</v>
      </c>
      <c r="U831" s="3">
        <f t="shared" si="88"/>
        <v>0.16953575171239083</v>
      </c>
      <c r="V831" s="5">
        <f t="shared" si="89"/>
        <v>1.1376656704602388</v>
      </c>
    </row>
    <row r="832" spans="1:22" x14ac:dyDescent="0.3">
      <c r="A832">
        <v>1121753</v>
      </c>
      <c r="B832" s="1">
        <v>42976</v>
      </c>
      <c r="C832" s="1">
        <v>42976</v>
      </c>
      <c r="D832" s="6" t="s">
        <v>28</v>
      </c>
      <c r="E832" s="6" t="s">
        <v>28</v>
      </c>
      <c r="F832" s="8" t="s">
        <v>22</v>
      </c>
      <c r="G832" s="8" t="s">
        <v>27</v>
      </c>
      <c r="H832" s="8">
        <v>16</v>
      </c>
      <c r="I832" s="8">
        <v>20</v>
      </c>
      <c r="J832" s="8">
        <v>19</v>
      </c>
      <c r="K832" s="8">
        <v>740631</v>
      </c>
      <c r="L832" s="8">
        <v>101</v>
      </c>
      <c r="M832" s="8">
        <v>153.11999750000001</v>
      </c>
      <c r="N832" s="8">
        <v>9</v>
      </c>
      <c r="O832" s="8">
        <v>1</v>
      </c>
      <c r="P832" s="2">
        <f t="shared" si="84"/>
        <v>1.3637020324561084E-2</v>
      </c>
      <c r="Q832" s="3">
        <f t="shared" si="85"/>
        <v>1.5160395792079209</v>
      </c>
      <c r="R832" s="4">
        <f t="shared" si="90"/>
        <v>9.9009900990099011E-3</v>
      </c>
      <c r="S832" s="3">
        <f t="shared" si="86"/>
        <v>153.11999750000001</v>
      </c>
      <c r="T832" s="4">
        <f t="shared" si="87"/>
        <v>0.1111111111111111</v>
      </c>
      <c r="U832" s="3">
        <f t="shared" si="88"/>
        <v>0.20674262554497452</v>
      </c>
      <c r="V832" s="5">
        <f t="shared" si="89"/>
        <v>-0.67345871985140282</v>
      </c>
    </row>
    <row r="833" spans="1:22" x14ac:dyDescent="0.3">
      <c r="A833">
        <v>1121754</v>
      </c>
      <c r="B833" s="1">
        <v>42976</v>
      </c>
      <c r="C833" s="1">
        <v>42976</v>
      </c>
      <c r="D833" s="6" t="s">
        <v>28</v>
      </c>
      <c r="E833" s="6" t="s">
        <v>28</v>
      </c>
      <c r="F833" s="7" t="s">
        <v>22</v>
      </c>
      <c r="G833" s="7" t="s">
        <v>27</v>
      </c>
      <c r="H833" s="7">
        <v>16</v>
      </c>
      <c r="I833" s="7">
        <v>17</v>
      </c>
      <c r="J833" s="7">
        <v>17</v>
      </c>
      <c r="K833" s="7">
        <v>328272</v>
      </c>
      <c r="L833" s="7">
        <v>35</v>
      </c>
      <c r="M833" s="7">
        <v>55.990000250000001</v>
      </c>
      <c r="N833" s="7">
        <v>2</v>
      </c>
      <c r="O833" s="7">
        <v>1</v>
      </c>
      <c r="P833" s="2">
        <f t="shared" si="84"/>
        <v>1.0661890139883999E-2</v>
      </c>
      <c r="Q833" s="3">
        <f t="shared" si="85"/>
        <v>1.5997142928571428</v>
      </c>
      <c r="R833" s="4">
        <f t="shared" si="90"/>
        <v>2.8571428571428571E-2</v>
      </c>
      <c r="S833" s="3">
        <f t="shared" si="86"/>
        <v>55.990000250000001</v>
      </c>
      <c r="T833" s="4">
        <f t="shared" si="87"/>
        <v>0.5</v>
      </c>
      <c r="U833" s="3">
        <f t="shared" si="88"/>
        <v>0.17055978045645073</v>
      </c>
      <c r="V833" s="5">
        <f t="shared" si="89"/>
        <v>-0.10698339387844531</v>
      </c>
    </row>
    <row r="834" spans="1:22" x14ac:dyDescent="0.3">
      <c r="A834">
        <v>1121755</v>
      </c>
      <c r="B834" s="1">
        <v>42976</v>
      </c>
      <c r="C834" s="1">
        <v>42976</v>
      </c>
      <c r="D834" s="6" t="s">
        <v>28</v>
      </c>
      <c r="E834" s="6" t="s">
        <v>28</v>
      </c>
      <c r="F834" s="8" t="s">
        <v>22</v>
      </c>
      <c r="G834" s="8" t="s">
        <v>27</v>
      </c>
      <c r="H834" s="8">
        <v>16</v>
      </c>
      <c r="I834" s="8">
        <v>20</v>
      </c>
      <c r="J834" s="8">
        <v>21</v>
      </c>
      <c r="K834" s="8">
        <v>178455</v>
      </c>
      <c r="L834" s="8">
        <v>20</v>
      </c>
      <c r="M834" s="8">
        <v>31.540000200000001</v>
      </c>
      <c r="N834" s="8">
        <v>6</v>
      </c>
      <c r="O834" s="8">
        <v>3</v>
      </c>
      <c r="P834" s="2">
        <f t="shared" ref="P834:P897" si="91">IF(K834&gt;0, (L834/K834)*100, 0)</f>
        <v>1.1207307164271105E-2</v>
      </c>
      <c r="Q834" s="3">
        <f t="shared" ref="Q834:Q897" si="92">IF(L834&gt;0, M834/L834, 0)</f>
        <v>1.5770000100000001</v>
      </c>
      <c r="R834" s="4">
        <f t="shared" si="90"/>
        <v>0.15</v>
      </c>
      <c r="S834" s="3">
        <f t="shared" ref="S834:S897" si="93">IF(O834&gt;0, M834/O834, 0)</f>
        <v>10.5133334</v>
      </c>
      <c r="T834" s="4">
        <f t="shared" ref="T834:T897" si="94">IF(N834&gt;0, O834/N834, 0)</f>
        <v>0.5</v>
      </c>
      <c r="U834" s="3">
        <f t="shared" ref="U834:U897" si="95">IF(K834&gt;0, (M834/K834)*1000, 0)</f>
        <v>0.17673923510128606</v>
      </c>
      <c r="V834" s="5">
        <f t="shared" ref="V834:V897" si="96">IF(M834&gt;0, ((O834*50)-M834)/M834, 0)</f>
        <v>3.7558655373756142</v>
      </c>
    </row>
    <row r="835" spans="1:22" x14ac:dyDescent="0.3">
      <c r="A835">
        <v>1121756</v>
      </c>
      <c r="B835" s="1">
        <v>42976</v>
      </c>
      <c r="C835" s="1">
        <v>42976</v>
      </c>
      <c r="D835" s="6" t="s">
        <v>28</v>
      </c>
      <c r="E835" s="6" t="s">
        <v>28</v>
      </c>
      <c r="F835" s="7" t="s">
        <v>22</v>
      </c>
      <c r="G835" s="7" t="s">
        <v>27</v>
      </c>
      <c r="H835" s="7">
        <v>16</v>
      </c>
      <c r="I835" s="7">
        <v>18</v>
      </c>
      <c r="J835" s="7">
        <v>19</v>
      </c>
      <c r="K835" s="7">
        <v>705712</v>
      </c>
      <c r="L835" s="7">
        <v>98</v>
      </c>
      <c r="M835" s="7">
        <v>147.33999900000001</v>
      </c>
      <c r="N835" s="7">
        <v>6</v>
      </c>
      <c r="O835" s="7">
        <v>1</v>
      </c>
      <c r="P835" s="2">
        <f t="shared" si="91"/>
        <v>1.3886684653229646E-2</v>
      </c>
      <c r="Q835" s="3">
        <f t="shared" si="92"/>
        <v>1.5034693775510204</v>
      </c>
      <c r="R835" s="4">
        <f t="shared" ref="R835:R898" si="97">IF(L835&gt;0, O835/L835, 0)</f>
        <v>1.020408163265306E-2</v>
      </c>
      <c r="S835" s="3">
        <f t="shared" si="93"/>
        <v>147.33999900000001</v>
      </c>
      <c r="T835" s="4">
        <f t="shared" si="94"/>
        <v>0.16666666666666666</v>
      </c>
      <c r="U835" s="3">
        <f t="shared" si="95"/>
        <v>0.20878205131838484</v>
      </c>
      <c r="V835" s="5">
        <f t="shared" si="96"/>
        <v>-0.66064883711584665</v>
      </c>
    </row>
    <row r="836" spans="1:22" x14ac:dyDescent="0.3">
      <c r="A836">
        <v>1121758</v>
      </c>
      <c r="B836" s="1">
        <v>42975</v>
      </c>
      <c r="C836" s="1">
        <v>42975</v>
      </c>
      <c r="D836" s="6" t="s">
        <v>28</v>
      </c>
      <c r="E836" s="6" t="s">
        <v>28</v>
      </c>
      <c r="F836" s="8" t="s">
        <v>22</v>
      </c>
      <c r="G836" s="8" t="s">
        <v>27</v>
      </c>
      <c r="H836" s="8">
        <v>18</v>
      </c>
      <c r="I836" s="8">
        <v>19</v>
      </c>
      <c r="J836" s="8">
        <v>20</v>
      </c>
      <c r="K836" s="8">
        <v>690373</v>
      </c>
      <c r="L836" s="8">
        <v>91</v>
      </c>
      <c r="M836" s="8">
        <v>159.57000210000001</v>
      </c>
      <c r="N836" s="8">
        <v>5</v>
      </c>
      <c r="O836" s="8">
        <v>2</v>
      </c>
      <c r="P836" s="2">
        <f t="shared" si="91"/>
        <v>1.3181280264436761E-2</v>
      </c>
      <c r="Q836" s="3">
        <f t="shared" si="92"/>
        <v>1.7535165065934066</v>
      </c>
      <c r="R836" s="4">
        <f t="shared" si="97"/>
        <v>2.197802197802198E-2</v>
      </c>
      <c r="S836" s="3">
        <f t="shared" si="93"/>
        <v>79.785001050000005</v>
      </c>
      <c r="T836" s="4">
        <f t="shared" si="94"/>
        <v>0.4</v>
      </c>
      <c r="U836" s="3">
        <f t="shared" si="95"/>
        <v>0.23113592521723766</v>
      </c>
      <c r="V836" s="5">
        <f t="shared" si="96"/>
        <v>-0.37331579442274138</v>
      </c>
    </row>
    <row r="837" spans="1:22" x14ac:dyDescent="0.3">
      <c r="A837">
        <v>1121759</v>
      </c>
      <c r="B837" s="1">
        <v>42975</v>
      </c>
      <c r="C837" s="1">
        <v>42975</v>
      </c>
      <c r="D837" s="6" t="s">
        <v>28</v>
      </c>
      <c r="E837" s="6" t="s">
        <v>28</v>
      </c>
      <c r="F837" s="7" t="s">
        <v>22</v>
      </c>
      <c r="G837" s="7" t="s">
        <v>27</v>
      </c>
      <c r="H837" s="7">
        <v>18</v>
      </c>
      <c r="I837" s="7">
        <v>21</v>
      </c>
      <c r="J837" s="7">
        <v>19</v>
      </c>
      <c r="K837" s="7">
        <v>515812</v>
      </c>
      <c r="L837" s="7">
        <v>69</v>
      </c>
      <c r="M837" s="7">
        <v>117.6299995</v>
      </c>
      <c r="N837" s="7">
        <v>3</v>
      </c>
      <c r="O837" s="7">
        <v>1</v>
      </c>
      <c r="P837" s="2">
        <f t="shared" si="91"/>
        <v>1.3376966801858042E-2</v>
      </c>
      <c r="Q837" s="3">
        <f t="shared" si="92"/>
        <v>1.7047826014492753</v>
      </c>
      <c r="R837" s="4">
        <f t="shared" si="97"/>
        <v>1.4492753623188406E-2</v>
      </c>
      <c r="S837" s="3">
        <f t="shared" si="93"/>
        <v>117.6299995</v>
      </c>
      <c r="T837" s="4">
        <f t="shared" si="94"/>
        <v>0.33333333333333331</v>
      </c>
      <c r="U837" s="3">
        <f t="shared" si="95"/>
        <v>0.22804820263972145</v>
      </c>
      <c r="V837" s="5">
        <f t="shared" si="96"/>
        <v>-0.57493836425630518</v>
      </c>
    </row>
    <row r="838" spans="1:22" x14ac:dyDescent="0.3">
      <c r="A838">
        <v>1121760</v>
      </c>
      <c r="B838" s="1">
        <v>42975</v>
      </c>
      <c r="C838" s="1">
        <v>42975</v>
      </c>
      <c r="D838" s="6" t="s">
        <v>28</v>
      </c>
      <c r="E838" s="6" t="s">
        <v>28</v>
      </c>
      <c r="F838" s="8" t="s">
        <v>22</v>
      </c>
      <c r="G838" s="8" t="s">
        <v>27</v>
      </c>
      <c r="H838" s="8">
        <v>18</v>
      </c>
      <c r="I838" s="8">
        <v>21</v>
      </c>
      <c r="J838" s="8">
        <v>21</v>
      </c>
      <c r="K838" s="8">
        <v>764793</v>
      </c>
      <c r="L838" s="8">
        <v>101</v>
      </c>
      <c r="M838" s="8">
        <v>171.97999759999999</v>
      </c>
      <c r="N838" s="8">
        <v>4</v>
      </c>
      <c r="O838" s="8">
        <v>2</v>
      </c>
      <c r="P838" s="2">
        <f t="shared" si="91"/>
        <v>1.3206187818141642E-2</v>
      </c>
      <c r="Q838" s="3">
        <f t="shared" si="92"/>
        <v>1.7027722534653464</v>
      </c>
      <c r="R838" s="4">
        <f t="shared" si="97"/>
        <v>1.9801980198019802E-2</v>
      </c>
      <c r="S838" s="3">
        <f t="shared" si="93"/>
        <v>85.989998799999995</v>
      </c>
      <c r="T838" s="4">
        <f t="shared" si="94"/>
        <v>0.5</v>
      </c>
      <c r="U838" s="3">
        <f t="shared" si="95"/>
        <v>0.22487130190783647</v>
      </c>
      <c r="V838" s="5">
        <f t="shared" si="96"/>
        <v>-0.4185370310762232</v>
      </c>
    </row>
    <row r="839" spans="1:22" x14ac:dyDescent="0.3">
      <c r="A839">
        <v>1121763</v>
      </c>
      <c r="B839" s="1">
        <v>42975</v>
      </c>
      <c r="C839" s="1">
        <v>42975</v>
      </c>
      <c r="D839" s="6" t="s">
        <v>28</v>
      </c>
      <c r="E839" s="6" t="s">
        <v>28</v>
      </c>
      <c r="F839" s="7" t="s">
        <v>22</v>
      </c>
      <c r="G839" s="7" t="s">
        <v>27</v>
      </c>
      <c r="H839" s="7">
        <v>19</v>
      </c>
      <c r="I839" s="7">
        <v>22</v>
      </c>
      <c r="J839" s="7">
        <v>23</v>
      </c>
      <c r="K839" s="7">
        <v>87832</v>
      </c>
      <c r="L839" s="7">
        <v>11</v>
      </c>
      <c r="M839" s="7">
        <v>18.100000380000001</v>
      </c>
      <c r="N839" s="7">
        <v>1</v>
      </c>
      <c r="O839" s="7">
        <v>1</v>
      </c>
      <c r="P839" s="2">
        <f t="shared" si="91"/>
        <v>1.2523909281355314E-2</v>
      </c>
      <c r="Q839" s="3">
        <f t="shared" si="92"/>
        <v>1.64545458</v>
      </c>
      <c r="R839" s="4">
        <f t="shared" si="97"/>
        <v>9.0909090909090912E-2</v>
      </c>
      <c r="S839" s="3">
        <f t="shared" si="93"/>
        <v>18.100000380000001</v>
      </c>
      <c r="T839" s="4">
        <f t="shared" si="94"/>
        <v>1</v>
      </c>
      <c r="U839" s="3">
        <f t="shared" si="95"/>
        <v>0.20607523886510612</v>
      </c>
      <c r="V839" s="5">
        <f t="shared" si="96"/>
        <v>1.7624308812307328</v>
      </c>
    </row>
    <row r="840" spans="1:22" x14ac:dyDescent="0.3">
      <c r="A840">
        <v>1121764</v>
      </c>
      <c r="B840" s="1">
        <v>42975</v>
      </c>
      <c r="C840" s="1">
        <v>42975</v>
      </c>
      <c r="D840" s="6" t="s">
        <v>28</v>
      </c>
      <c r="E840" s="6" t="s">
        <v>28</v>
      </c>
      <c r="F840" s="8" t="s">
        <v>22</v>
      </c>
      <c r="G840" s="8" t="s">
        <v>27</v>
      </c>
      <c r="H840" s="8">
        <v>19</v>
      </c>
      <c r="I840" s="8">
        <v>22</v>
      </c>
      <c r="J840" s="8">
        <v>23</v>
      </c>
      <c r="K840" s="8">
        <v>23368</v>
      </c>
      <c r="L840" s="8">
        <v>3</v>
      </c>
      <c r="M840" s="8">
        <v>4.3000001909999996</v>
      </c>
      <c r="N840" s="8">
        <v>1</v>
      </c>
      <c r="O840" s="8">
        <v>0</v>
      </c>
      <c r="P840" s="2">
        <f t="shared" si="91"/>
        <v>1.283806915439918E-2</v>
      </c>
      <c r="Q840" s="3">
        <f t="shared" si="92"/>
        <v>1.433333397</v>
      </c>
      <c r="R840" s="4">
        <f t="shared" si="97"/>
        <v>0</v>
      </c>
      <c r="S840" s="3">
        <f t="shared" si="93"/>
        <v>0</v>
      </c>
      <c r="T840" s="4">
        <f t="shared" si="94"/>
        <v>0</v>
      </c>
      <c r="U840" s="3">
        <f t="shared" si="95"/>
        <v>0.1840123327199589</v>
      </c>
      <c r="V840" s="5">
        <f t="shared" si="96"/>
        <v>-1</v>
      </c>
    </row>
    <row r="841" spans="1:22" x14ac:dyDescent="0.3">
      <c r="A841">
        <v>1121765</v>
      </c>
      <c r="B841" s="1">
        <v>42975</v>
      </c>
      <c r="C841" s="1">
        <v>42975</v>
      </c>
      <c r="D841" s="6" t="s">
        <v>28</v>
      </c>
      <c r="E841" s="6" t="s">
        <v>28</v>
      </c>
      <c r="F841" s="7" t="s">
        <v>22</v>
      </c>
      <c r="G841" s="7" t="s">
        <v>27</v>
      </c>
      <c r="H841" s="7">
        <v>19</v>
      </c>
      <c r="I841" s="7">
        <v>24</v>
      </c>
      <c r="J841" s="7">
        <v>23</v>
      </c>
      <c r="K841" s="7">
        <v>51509</v>
      </c>
      <c r="L841" s="7">
        <v>7</v>
      </c>
      <c r="M841" s="7">
        <v>11.570000050000001</v>
      </c>
      <c r="N841" s="7">
        <v>1</v>
      </c>
      <c r="O841" s="7">
        <v>0</v>
      </c>
      <c r="P841" s="2">
        <f t="shared" si="91"/>
        <v>1.3589858083053446E-2</v>
      </c>
      <c r="Q841" s="3">
        <f t="shared" si="92"/>
        <v>1.6528571500000002</v>
      </c>
      <c r="R841" s="4">
        <f t="shared" si="97"/>
        <v>0</v>
      </c>
      <c r="S841" s="3">
        <f t="shared" si="93"/>
        <v>0</v>
      </c>
      <c r="T841" s="4">
        <f t="shared" si="94"/>
        <v>0</v>
      </c>
      <c r="U841" s="3">
        <f t="shared" si="95"/>
        <v>0.22462094100060184</v>
      </c>
      <c r="V841" s="5">
        <f t="shared" si="96"/>
        <v>-1</v>
      </c>
    </row>
    <row r="842" spans="1:22" x14ac:dyDescent="0.3">
      <c r="A842">
        <v>1121767</v>
      </c>
      <c r="B842" s="1">
        <v>42975</v>
      </c>
      <c r="C842" s="1">
        <v>42975</v>
      </c>
      <c r="D842" s="6" t="s">
        <v>28</v>
      </c>
      <c r="E842" s="6" t="s">
        <v>28</v>
      </c>
      <c r="F842" s="8" t="s">
        <v>22</v>
      </c>
      <c r="G842" s="8" t="s">
        <v>27</v>
      </c>
      <c r="H842" s="8">
        <v>19</v>
      </c>
      <c r="I842" s="8">
        <v>20</v>
      </c>
      <c r="J842" s="8">
        <v>23</v>
      </c>
      <c r="K842" s="8">
        <v>87043</v>
      </c>
      <c r="L842" s="8">
        <v>16</v>
      </c>
      <c r="M842" s="8">
        <v>24.480000019999999</v>
      </c>
      <c r="N842" s="8">
        <v>2</v>
      </c>
      <c r="O842" s="8">
        <v>0</v>
      </c>
      <c r="P842" s="2">
        <f t="shared" si="91"/>
        <v>1.8381719380076513E-2</v>
      </c>
      <c r="Q842" s="3">
        <f t="shared" si="92"/>
        <v>1.5300000012499999</v>
      </c>
      <c r="R842" s="4">
        <f t="shared" si="97"/>
        <v>0</v>
      </c>
      <c r="S842" s="3">
        <f t="shared" si="93"/>
        <v>0</v>
      </c>
      <c r="T842" s="4">
        <f t="shared" si="94"/>
        <v>0</v>
      </c>
      <c r="U842" s="3">
        <f t="shared" si="95"/>
        <v>0.28124030674494216</v>
      </c>
      <c r="V842" s="5">
        <f t="shared" si="96"/>
        <v>-1</v>
      </c>
    </row>
    <row r="843" spans="1:22" x14ac:dyDescent="0.3">
      <c r="A843">
        <v>1121768</v>
      </c>
      <c r="B843" s="1">
        <v>42975</v>
      </c>
      <c r="C843" s="1">
        <v>42975</v>
      </c>
      <c r="D843" s="6" t="s">
        <v>28</v>
      </c>
      <c r="E843" s="6" t="s">
        <v>28</v>
      </c>
      <c r="F843" s="7" t="s">
        <v>22</v>
      </c>
      <c r="G843" s="7" t="s">
        <v>27</v>
      </c>
      <c r="H843" s="7">
        <v>19</v>
      </c>
      <c r="I843" s="7">
        <v>20</v>
      </c>
      <c r="J843" s="7">
        <v>25</v>
      </c>
      <c r="K843" s="7">
        <v>565565</v>
      </c>
      <c r="L843" s="7">
        <v>113</v>
      </c>
      <c r="M843" s="7">
        <v>169.66999820000001</v>
      </c>
      <c r="N843" s="7">
        <v>7</v>
      </c>
      <c r="O843" s="7">
        <v>4</v>
      </c>
      <c r="P843" s="2">
        <f t="shared" si="91"/>
        <v>1.998001998001998E-2</v>
      </c>
      <c r="Q843" s="3">
        <f t="shared" si="92"/>
        <v>1.5015044088495575</v>
      </c>
      <c r="R843" s="4">
        <f t="shared" si="97"/>
        <v>3.5398230088495575E-2</v>
      </c>
      <c r="S843" s="3">
        <f t="shared" si="93"/>
        <v>42.417499550000002</v>
      </c>
      <c r="T843" s="4">
        <f t="shared" si="94"/>
        <v>0.5714285714285714</v>
      </c>
      <c r="U843" s="3">
        <f t="shared" si="95"/>
        <v>0.30000088088902249</v>
      </c>
      <c r="V843" s="5">
        <f t="shared" si="96"/>
        <v>0.17875877952357985</v>
      </c>
    </row>
    <row r="844" spans="1:22" x14ac:dyDescent="0.3">
      <c r="A844">
        <v>1121769</v>
      </c>
      <c r="B844" s="1">
        <v>42975</v>
      </c>
      <c r="C844" s="1">
        <v>42975</v>
      </c>
      <c r="D844" s="6" t="s">
        <v>28</v>
      </c>
      <c r="E844" s="6" t="s">
        <v>28</v>
      </c>
      <c r="F844" s="8" t="s">
        <v>22</v>
      </c>
      <c r="G844" s="8" t="s">
        <v>27</v>
      </c>
      <c r="H844" s="8">
        <v>20</v>
      </c>
      <c r="I844" s="8">
        <v>26</v>
      </c>
      <c r="J844" s="8">
        <v>26</v>
      </c>
      <c r="K844" s="8">
        <v>253758</v>
      </c>
      <c r="L844" s="8">
        <v>43</v>
      </c>
      <c r="M844" s="8">
        <v>62.14000034</v>
      </c>
      <c r="N844" s="8">
        <v>4</v>
      </c>
      <c r="O844" s="8">
        <v>1</v>
      </c>
      <c r="P844" s="2">
        <f t="shared" si="91"/>
        <v>1.6945278572498206E-2</v>
      </c>
      <c r="Q844" s="3">
        <f t="shared" si="92"/>
        <v>1.4451162869767442</v>
      </c>
      <c r="R844" s="4">
        <f t="shared" si="97"/>
        <v>2.3255813953488372E-2</v>
      </c>
      <c r="S844" s="3">
        <f t="shared" si="93"/>
        <v>62.14000034</v>
      </c>
      <c r="T844" s="4">
        <f t="shared" si="94"/>
        <v>0.25</v>
      </c>
      <c r="U844" s="3">
        <f t="shared" si="95"/>
        <v>0.2448789805247519</v>
      </c>
      <c r="V844" s="5">
        <f t="shared" si="96"/>
        <v>-0.19536530855448656</v>
      </c>
    </row>
    <row r="845" spans="1:22" x14ac:dyDescent="0.3">
      <c r="A845">
        <v>1121773</v>
      </c>
      <c r="B845" s="1">
        <v>42975</v>
      </c>
      <c r="C845" s="1">
        <v>42975</v>
      </c>
      <c r="D845" s="6" t="s">
        <v>28</v>
      </c>
      <c r="E845" s="6" t="s">
        <v>28</v>
      </c>
      <c r="F845" s="7" t="s">
        <v>22</v>
      </c>
      <c r="G845" s="7" t="s">
        <v>27</v>
      </c>
      <c r="H845" s="7">
        <v>20</v>
      </c>
      <c r="I845" s="7">
        <v>22</v>
      </c>
      <c r="J845" s="7">
        <v>21</v>
      </c>
      <c r="K845" s="7">
        <v>319131</v>
      </c>
      <c r="L845" s="7">
        <v>51</v>
      </c>
      <c r="M845" s="7">
        <v>76.680000250000006</v>
      </c>
      <c r="N845" s="7">
        <v>6</v>
      </c>
      <c r="O845" s="7">
        <v>1</v>
      </c>
      <c r="P845" s="2">
        <f t="shared" si="91"/>
        <v>1.598089812647471E-2</v>
      </c>
      <c r="Q845" s="3">
        <f t="shared" si="92"/>
        <v>1.5035294166666668</v>
      </c>
      <c r="R845" s="4">
        <f t="shared" si="97"/>
        <v>1.9607843137254902E-2</v>
      </c>
      <c r="S845" s="3">
        <f t="shared" si="93"/>
        <v>76.680000250000006</v>
      </c>
      <c r="T845" s="4">
        <f t="shared" si="94"/>
        <v>0.16666666666666666</v>
      </c>
      <c r="U845" s="3">
        <f t="shared" si="95"/>
        <v>0.24027750437907947</v>
      </c>
      <c r="V845" s="5">
        <f t="shared" si="96"/>
        <v>-0.34793949091047383</v>
      </c>
    </row>
    <row r="846" spans="1:22" x14ac:dyDescent="0.3">
      <c r="A846">
        <v>1121774</v>
      </c>
      <c r="B846" s="1">
        <v>42975</v>
      </c>
      <c r="C846" s="1">
        <v>42975</v>
      </c>
      <c r="D846" s="6" t="s">
        <v>28</v>
      </c>
      <c r="E846" s="6" t="s">
        <v>28</v>
      </c>
      <c r="F846" s="8" t="s">
        <v>22</v>
      </c>
      <c r="G846" s="8" t="s">
        <v>27</v>
      </c>
      <c r="H846" s="8">
        <v>20</v>
      </c>
      <c r="I846" s="8">
        <v>22</v>
      </c>
      <c r="J846" s="8">
        <v>21</v>
      </c>
      <c r="K846" s="8">
        <v>670608</v>
      </c>
      <c r="L846" s="8">
        <v>130</v>
      </c>
      <c r="M846" s="8">
        <v>195.14999779999999</v>
      </c>
      <c r="N846" s="8">
        <v>11</v>
      </c>
      <c r="O846" s="8">
        <v>3</v>
      </c>
      <c r="P846" s="2">
        <f t="shared" si="91"/>
        <v>1.9385393553312813E-2</v>
      </c>
      <c r="Q846" s="3">
        <f t="shared" si="92"/>
        <v>1.5011538292307691</v>
      </c>
      <c r="R846" s="4">
        <f t="shared" si="97"/>
        <v>2.3076923076923078E-2</v>
      </c>
      <c r="S846" s="3">
        <f t="shared" si="93"/>
        <v>65.04999926666666</v>
      </c>
      <c r="T846" s="4">
        <f t="shared" si="94"/>
        <v>0.27272727272727271</v>
      </c>
      <c r="U846" s="3">
        <f t="shared" si="95"/>
        <v>0.29100457763700999</v>
      </c>
      <c r="V846" s="5">
        <f t="shared" si="96"/>
        <v>-0.2313604832641202</v>
      </c>
    </row>
    <row r="847" spans="1:22" x14ac:dyDescent="0.3">
      <c r="A847">
        <v>1121775</v>
      </c>
      <c r="B847" s="1">
        <v>42965</v>
      </c>
      <c r="C847" s="1">
        <v>42965</v>
      </c>
      <c r="D847" s="6" t="s">
        <v>28</v>
      </c>
      <c r="E847" s="6" t="s">
        <v>28</v>
      </c>
      <c r="F847" s="7" t="s">
        <v>22</v>
      </c>
      <c r="G847" s="7" t="s">
        <v>27</v>
      </c>
      <c r="H847" s="7">
        <v>21</v>
      </c>
      <c r="I847" s="7">
        <v>24</v>
      </c>
      <c r="J847" s="7">
        <v>25</v>
      </c>
      <c r="K847" s="7">
        <v>159123</v>
      </c>
      <c r="L847" s="7">
        <v>25</v>
      </c>
      <c r="M847" s="7">
        <v>38.360000130000003</v>
      </c>
      <c r="N847" s="7">
        <v>5</v>
      </c>
      <c r="O847" s="7">
        <v>3</v>
      </c>
      <c r="P847" s="2">
        <f t="shared" si="91"/>
        <v>1.5711116557631518E-2</v>
      </c>
      <c r="Q847" s="3">
        <f t="shared" si="92"/>
        <v>1.5344000052000002</v>
      </c>
      <c r="R847" s="4">
        <f t="shared" si="97"/>
        <v>0.12</v>
      </c>
      <c r="S847" s="3">
        <f t="shared" si="93"/>
        <v>12.78666671</v>
      </c>
      <c r="T847" s="4">
        <f t="shared" si="94"/>
        <v>0.6</v>
      </c>
      <c r="U847" s="3">
        <f t="shared" si="95"/>
        <v>0.2410713732772761</v>
      </c>
      <c r="V847" s="5">
        <f t="shared" si="96"/>
        <v>2.9103232401370689</v>
      </c>
    </row>
    <row r="848" spans="1:22" x14ac:dyDescent="0.3">
      <c r="A848">
        <v>1121776</v>
      </c>
      <c r="B848" s="1">
        <v>42965</v>
      </c>
      <c r="C848" s="1">
        <v>42965</v>
      </c>
      <c r="D848" s="6" t="s">
        <v>28</v>
      </c>
      <c r="E848" s="6" t="s">
        <v>28</v>
      </c>
      <c r="F848" s="8" t="s">
        <v>22</v>
      </c>
      <c r="G848" s="8" t="s">
        <v>27</v>
      </c>
      <c r="H848" s="8">
        <v>21</v>
      </c>
      <c r="I848" s="8">
        <v>23</v>
      </c>
      <c r="J848" s="8">
        <v>22</v>
      </c>
      <c r="K848" s="8">
        <v>103709</v>
      </c>
      <c r="L848" s="8">
        <v>15</v>
      </c>
      <c r="M848" s="8">
        <v>24.56999969</v>
      </c>
      <c r="N848" s="8">
        <v>3</v>
      </c>
      <c r="O848" s="8">
        <v>1</v>
      </c>
      <c r="P848" s="2">
        <f t="shared" si="91"/>
        <v>1.4463547040276158E-2</v>
      </c>
      <c r="Q848" s="3">
        <f t="shared" si="92"/>
        <v>1.6379999793333333</v>
      </c>
      <c r="R848" s="4">
        <f t="shared" si="97"/>
        <v>6.6666666666666666E-2</v>
      </c>
      <c r="S848" s="3">
        <f t="shared" si="93"/>
        <v>24.56999969</v>
      </c>
      <c r="T848" s="4">
        <f t="shared" si="94"/>
        <v>0.33333333333333331</v>
      </c>
      <c r="U848" s="3">
        <f t="shared" si="95"/>
        <v>0.23691289753059039</v>
      </c>
      <c r="V848" s="5">
        <f t="shared" si="96"/>
        <v>1.0350020606776817</v>
      </c>
    </row>
    <row r="849" spans="1:22" x14ac:dyDescent="0.3">
      <c r="A849">
        <v>1121779</v>
      </c>
      <c r="B849" s="1">
        <v>42969</v>
      </c>
      <c r="C849" s="1">
        <v>42969</v>
      </c>
      <c r="D849" s="6" t="s">
        <v>28</v>
      </c>
      <c r="E849" s="6" t="s">
        <v>28</v>
      </c>
      <c r="F849" s="7" t="s">
        <v>22</v>
      </c>
      <c r="G849" s="7" t="s">
        <v>27</v>
      </c>
      <c r="H849" s="7">
        <v>21</v>
      </c>
      <c r="I849" s="7">
        <v>27</v>
      </c>
      <c r="J849" s="7">
        <v>23</v>
      </c>
      <c r="K849" s="7">
        <v>271589</v>
      </c>
      <c r="L849" s="7">
        <v>45</v>
      </c>
      <c r="M849" s="7">
        <v>74.410000319999995</v>
      </c>
      <c r="N849" s="7">
        <v>9</v>
      </c>
      <c r="O849" s="7">
        <v>3</v>
      </c>
      <c r="P849" s="2">
        <f t="shared" si="91"/>
        <v>1.656915412627168E-2</v>
      </c>
      <c r="Q849" s="3">
        <f t="shared" si="92"/>
        <v>1.6535555626666665</v>
      </c>
      <c r="R849" s="4">
        <f t="shared" si="97"/>
        <v>6.6666666666666666E-2</v>
      </c>
      <c r="S849" s="3">
        <f t="shared" si="93"/>
        <v>24.803333439999999</v>
      </c>
      <c r="T849" s="4">
        <f t="shared" si="94"/>
        <v>0.33333333333333331</v>
      </c>
      <c r="U849" s="3">
        <f t="shared" si="95"/>
        <v>0.27398016974177891</v>
      </c>
      <c r="V849" s="5">
        <f t="shared" si="96"/>
        <v>1.0158580749217232</v>
      </c>
    </row>
    <row r="850" spans="1:22" x14ac:dyDescent="0.3">
      <c r="A850">
        <v>1121780</v>
      </c>
      <c r="B850" s="1">
        <v>42969</v>
      </c>
      <c r="C850" s="1">
        <v>42969</v>
      </c>
      <c r="D850" s="6" t="s">
        <v>28</v>
      </c>
      <c r="E850" s="6" t="s">
        <v>28</v>
      </c>
      <c r="F850" s="8" t="s">
        <v>22</v>
      </c>
      <c r="G850" s="8" t="s">
        <v>27</v>
      </c>
      <c r="H850" s="8">
        <v>21</v>
      </c>
      <c r="I850" s="8">
        <v>25</v>
      </c>
      <c r="J850" s="8">
        <v>22</v>
      </c>
      <c r="K850" s="8">
        <v>119772</v>
      </c>
      <c r="L850" s="8">
        <v>20</v>
      </c>
      <c r="M850" s="8">
        <v>33.46999907</v>
      </c>
      <c r="N850" s="8">
        <v>5</v>
      </c>
      <c r="O850" s="8">
        <v>2</v>
      </c>
      <c r="P850" s="2">
        <f t="shared" si="91"/>
        <v>1.6698393614534283E-2</v>
      </c>
      <c r="Q850" s="3">
        <f t="shared" si="92"/>
        <v>1.6734999534999999</v>
      </c>
      <c r="R850" s="4">
        <f t="shared" si="97"/>
        <v>0.1</v>
      </c>
      <c r="S850" s="3">
        <f t="shared" si="93"/>
        <v>16.734999535</v>
      </c>
      <c r="T850" s="4">
        <f t="shared" si="94"/>
        <v>0.4</v>
      </c>
      <c r="U850" s="3">
        <f t="shared" si="95"/>
        <v>0.27944760937447816</v>
      </c>
      <c r="V850" s="5">
        <f t="shared" si="96"/>
        <v>1.9877503070991271</v>
      </c>
    </row>
    <row r="851" spans="1:22" x14ac:dyDescent="0.3">
      <c r="A851">
        <v>1121782</v>
      </c>
      <c r="B851" s="1">
        <v>42968</v>
      </c>
      <c r="C851" s="1">
        <v>42968</v>
      </c>
      <c r="D851" s="6" t="s">
        <v>28</v>
      </c>
      <c r="E851" s="6" t="s">
        <v>28</v>
      </c>
      <c r="F851" s="7" t="s">
        <v>22</v>
      </c>
      <c r="G851" s="7" t="s">
        <v>27</v>
      </c>
      <c r="H851" s="7">
        <v>22</v>
      </c>
      <c r="I851" s="7">
        <v>23</v>
      </c>
      <c r="J851" s="7">
        <v>23</v>
      </c>
      <c r="K851" s="7">
        <v>26340</v>
      </c>
      <c r="L851" s="7">
        <v>3</v>
      </c>
      <c r="M851" s="7">
        <v>4.2200000290000004</v>
      </c>
      <c r="N851" s="7">
        <v>1</v>
      </c>
      <c r="O851" s="7">
        <v>1</v>
      </c>
      <c r="P851" s="2">
        <f t="shared" si="91"/>
        <v>1.1389521640091117E-2</v>
      </c>
      <c r="Q851" s="3">
        <f t="shared" si="92"/>
        <v>1.4066666763333335</v>
      </c>
      <c r="R851" s="4">
        <f t="shared" si="97"/>
        <v>0.33333333333333331</v>
      </c>
      <c r="S851" s="3">
        <f t="shared" si="93"/>
        <v>4.2200000290000004</v>
      </c>
      <c r="T851" s="4">
        <f t="shared" si="94"/>
        <v>1</v>
      </c>
      <c r="U851" s="3">
        <f t="shared" si="95"/>
        <v>0.16021260550493546</v>
      </c>
      <c r="V851" s="5">
        <f t="shared" si="96"/>
        <v>10.848341150805238</v>
      </c>
    </row>
    <row r="852" spans="1:22" x14ac:dyDescent="0.3">
      <c r="A852">
        <v>1121783</v>
      </c>
      <c r="B852" s="1">
        <v>42969</v>
      </c>
      <c r="C852" s="1">
        <v>42969</v>
      </c>
      <c r="D852" s="6" t="s">
        <v>28</v>
      </c>
      <c r="E852" s="6" t="s">
        <v>28</v>
      </c>
      <c r="F852" s="8" t="s">
        <v>22</v>
      </c>
      <c r="G852" s="8" t="s">
        <v>27</v>
      </c>
      <c r="H852" s="8">
        <v>22</v>
      </c>
      <c r="I852" s="8">
        <v>27</v>
      </c>
      <c r="J852" s="8">
        <v>28</v>
      </c>
      <c r="K852" s="8">
        <v>594968</v>
      </c>
      <c r="L852" s="8">
        <v>111</v>
      </c>
      <c r="M852" s="8">
        <v>147.67000060000001</v>
      </c>
      <c r="N852" s="8">
        <v>4</v>
      </c>
      <c r="O852" s="8">
        <v>0</v>
      </c>
      <c r="P852" s="2">
        <f t="shared" si="91"/>
        <v>1.8656465557811513E-2</v>
      </c>
      <c r="Q852" s="3">
        <f t="shared" si="92"/>
        <v>1.3303603657657659</v>
      </c>
      <c r="R852" s="4">
        <f t="shared" si="97"/>
        <v>0</v>
      </c>
      <c r="S852" s="3">
        <f t="shared" si="93"/>
        <v>0</v>
      </c>
      <c r="T852" s="4">
        <f t="shared" si="94"/>
        <v>0</v>
      </c>
      <c r="U852" s="3">
        <f t="shared" si="95"/>
        <v>0.24819822343386536</v>
      </c>
      <c r="V852" s="5">
        <f t="shared" si="96"/>
        <v>-1</v>
      </c>
    </row>
    <row r="853" spans="1:22" x14ac:dyDescent="0.3">
      <c r="A853">
        <v>1121791</v>
      </c>
      <c r="B853" s="1">
        <v>42969</v>
      </c>
      <c r="C853" s="1">
        <v>42969</v>
      </c>
      <c r="D853" s="6" t="s">
        <v>28</v>
      </c>
      <c r="E853" s="6" t="s">
        <v>28</v>
      </c>
      <c r="F853" s="7" t="s">
        <v>22</v>
      </c>
      <c r="G853" s="7" t="s">
        <v>27</v>
      </c>
      <c r="H853" s="7">
        <v>23</v>
      </c>
      <c r="I853" s="7">
        <v>25</v>
      </c>
      <c r="J853" s="7">
        <v>24</v>
      </c>
      <c r="K853" s="7">
        <v>6838</v>
      </c>
      <c r="L853" s="7">
        <v>0</v>
      </c>
      <c r="M853" s="7">
        <v>0</v>
      </c>
      <c r="N853" s="7">
        <v>1</v>
      </c>
      <c r="O853" s="7">
        <v>0</v>
      </c>
      <c r="P853" s="2">
        <f t="shared" si="91"/>
        <v>0</v>
      </c>
      <c r="Q853" s="3">
        <f t="shared" si="92"/>
        <v>0</v>
      </c>
      <c r="R853" s="4">
        <f t="shared" si="97"/>
        <v>0</v>
      </c>
      <c r="S853" s="3">
        <f t="shared" si="93"/>
        <v>0</v>
      </c>
      <c r="T853" s="4">
        <f t="shared" si="94"/>
        <v>0</v>
      </c>
      <c r="U853" s="3">
        <f t="shared" si="95"/>
        <v>0</v>
      </c>
      <c r="V853" s="5">
        <f t="shared" si="96"/>
        <v>0</v>
      </c>
    </row>
    <row r="854" spans="1:22" x14ac:dyDescent="0.3">
      <c r="A854">
        <v>1121793</v>
      </c>
      <c r="B854" s="1">
        <v>42969</v>
      </c>
      <c r="C854" s="1">
        <v>42969</v>
      </c>
      <c r="D854" s="6" t="s">
        <v>28</v>
      </c>
      <c r="E854" s="6" t="s">
        <v>28</v>
      </c>
      <c r="F854" s="8" t="s">
        <v>22</v>
      </c>
      <c r="G854" s="8" t="s">
        <v>27</v>
      </c>
      <c r="H854" s="8">
        <v>24</v>
      </c>
      <c r="I854" s="8">
        <v>30</v>
      </c>
      <c r="J854" s="8">
        <v>25</v>
      </c>
      <c r="K854" s="8">
        <v>185665</v>
      </c>
      <c r="L854" s="8">
        <v>39</v>
      </c>
      <c r="M854" s="8">
        <v>62.140000579999999</v>
      </c>
      <c r="N854" s="8">
        <v>1</v>
      </c>
      <c r="O854" s="8">
        <v>0</v>
      </c>
      <c r="P854" s="2">
        <f t="shared" si="91"/>
        <v>2.1005574556324565E-2</v>
      </c>
      <c r="Q854" s="3">
        <f t="shared" si="92"/>
        <v>1.5933333482051282</v>
      </c>
      <c r="R854" s="4">
        <f t="shared" si="97"/>
        <v>0</v>
      </c>
      <c r="S854" s="3">
        <f t="shared" si="93"/>
        <v>0</v>
      </c>
      <c r="T854" s="4">
        <f t="shared" si="94"/>
        <v>0</v>
      </c>
      <c r="U854" s="3">
        <f t="shared" si="95"/>
        <v>0.33468882438801062</v>
      </c>
      <c r="V854" s="5">
        <f t="shared" si="96"/>
        <v>-1</v>
      </c>
    </row>
    <row r="855" spans="1:22" x14ac:dyDescent="0.3">
      <c r="A855">
        <v>1121795</v>
      </c>
      <c r="B855" s="1">
        <v>42969</v>
      </c>
      <c r="C855" s="1">
        <v>42969</v>
      </c>
      <c r="D855" s="6" t="s">
        <v>28</v>
      </c>
      <c r="E855" s="6" t="s">
        <v>28</v>
      </c>
      <c r="F855" s="7" t="s">
        <v>22</v>
      </c>
      <c r="G855" s="7" t="s">
        <v>27</v>
      </c>
      <c r="H855" s="7">
        <v>24</v>
      </c>
      <c r="I855" s="7">
        <v>29</v>
      </c>
      <c r="J855" s="7">
        <v>25</v>
      </c>
      <c r="K855" s="7">
        <v>24959</v>
      </c>
      <c r="L855" s="7">
        <v>3</v>
      </c>
      <c r="M855" s="7">
        <v>4.5600000620000003</v>
      </c>
      <c r="N855" s="7">
        <v>1</v>
      </c>
      <c r="O855" s="7">
        <v>1</v>
      </c>
      <c r="P855" s="2">
        <f t="shared" si="91"/>
        <v>1.2019712328218277E-2</v>
      </c>
      <c r="Q855" s="3">
        <f t="shared" si="92"/>
        <v>1.5200000206666668</v>
      </c>
      <c r="R855" s="4">
        <f t="shared" si="97"/>
        <v>0.33333333333333331</v>
      </c>
      <c r="S855" s="3">
        <f t="shared" si="93"/>
        <v>4.5600000620000003</v>
      </c>
      <c r="T855" s="4">
        <f t="shared" si="94"/>
        <v>1</v>
      </c>
      <c r="U855" s="3">
        <f t="shared" si="95"/>
        <v>0.18269962987299171</v>
      </c>
      <c r="V855" s="5">
        <f t="shared" si="96"/>
        <v>9.9649121316174227</v>
      </c>
    </row>
    <row r="856" spans="1:22" x14ac:dyDescent="0.3">
      <c r="A856">
        <v>1121796</v>
      </c>
      <c r="B856" s="1">
        <v>42969</v>
      </c>
      <c r="C856" s="1">
        <v>42969</v>
      </c>
      <c r="D856" s="6" t="s">
        <v>28</v>
      </c>
      <c r="E856" s="6" t="s">
        <v>28</v>
      </c>
      <c r="F856" s="8" t="s">
        <v>22</v>
      </c>
      <c r="G856" s="8" t="s">
        <v>27</v>
      </c>
      <c r="H856" s="8">
        <v>24</v>
      </c>
      <c r="I856" s="8">
        <v>28</v>
      </c>
      <c r="J856" s="8">
        <v>27</v>
      </c>
      <c r="K856" s="8">
        <v>136967</v>
      </c>
      <c r="L856" s="8">
        <v>23</v>
      </c>
      <c r="M856" s="8">
        <v>35.059999820000002</v>
      </c>
      <c r="N856" s="8">
        <v>3</v>
      </c>
      <c r="O856" s="8">
        <v>1</v>
      </c>
      <c r="P856" s="2">
        <f t="shared" si="91"/>
        <v>1.6792366044375652E-2</v>
      </c>
      <c r="Q856" s="3">
        <f t="shared" si="92"/>
        <v>1.5243478182608696</v>
      </c>
      <c r="R856" s="4">
        <f t="shared" si="97"/>
        <v>4.3478260869565216E-2</v>
      </c>
      <c r="S856" s="3">
        <f t="shared" si="93"/>
        <v>35.059999820000002</v>
      </c>
      <c r="T856" s="4">
        <f t="shared" si="94"/>
        <v>0.33333333333333331</v>
      </c>
      <c r="U856" s="3">
        <f t="shared" si="95"/>
        <v>0.25597406543181939</v>
      </c>
      <c r="V856" s="5">
        <f t="shared" si="96"/>
        <v>0.42612664736744993</v>
      </c>
    </row>
    <row r="857" spans="1:22" x14ac:dyDescent="0.3">
      <c r="A857">
        <v>1121798</v>
      </c>
      <c r="B857" s="1">
        <v>42968</v>
      </c>
      <c r="C857" s="1">
        <v>42968</v>
      </c>
      <c r="D857" s="6" t="s">
        <v>28</v>
      </c>
      <c r="E857" s="6" t="s">
        <v>28</v>
      </c>
      <c r="F857" s="7" t="s">
        <v>22</v>
      </c>
      <c r="G857" s="7" t="s">
        <v>27</v>
      </c>
      <c r="H857" s="7">
        <v>24</v>
      </c>
      <c r="I857" s="7">
        <v>26</v>
      </c>
      <c r="J857" s="7">
        <v>26</v>
      </c>
      <c r="K857" s="7">
        <v>107548</v>
      </c>
      <c r="L857" s="7">
        <v>19</v>
      </c>
      <c r="M857" s="7">
        <v>29.310000179999999</v>
      </c>
      <c r="N857" s="7">
        <v>1</v>
      </c>
      <c r="O857" s="7">
        <v>0</v>
      </c>
      <c r="P857" s="2">
        <f t="shared" si="91"/>
        <v>1.7666530293450364E-2</v>
      </c>
      <c r="Q857" s="3">
        <f t="shared" si="92"/>
        <v>1.5426315884210526</v>
      </c>
      <c r="R857" s="4">
        <f t="shared" si="97"/>
        <v>0</v>
      </c>
      <c r="S857" s="3">
        <f t="shared" si="93"/>
        <v>0</v>
      </c>
      <c r="T857" s="4">
        <f t="shared" si="94"/>
        <v>0</v>
      </c>
      <c r="U857" s="3">
        <f t="shared" si="95"/>
        <v>0.27252947688473983</v>
      </c>
      <c r="V857" s="5">
        <f t="shared" si="96"/>
        <v>-1</v>
      </c>
    </row>
    <row r="858" spans="1:22" x14ac:dyDescent="0.3">
      <c r="A858">
        <v>1121803</v>
      </c>
      <c r="B858" s="1">
        <v>42968</v>
      </c>
      <c r="C858" s="1">
        <v>42968</v>
      </c>
      <c r="D858" s="6" t="s">
        <v>28</v>
      </c>
      <c r="E858" s="6" t="s">
        <v>28</v>
      </c>
      <c r="F858" s="8" t="s">
        <v>22</v>
      </c>
      <c r="G858" s="8" t="s">
        <v>27</v>
      </c>
      <c r="H858" s="8">
        <v>25</v>
      </c>
      <c r="I858" s="8">
        <v>31</v>
      </c>
      <c r="J858" s="8">
        <v>28</v>
      </c>
      <c r="K858" s="8">
        <v>588617</v>
      </c>
      <c r="L858" s="8">
        <v>119</v>
      </c>
      <c r="M858" s="8">
        <v>169.91999730000001</v>
      </c>
      <c r="N858" s="8">
        <v>2</v>
      </c>
      <c r="O858" s="8">
        <v>0</v>
      </c>
      <c r="P858" s="2">
        <f t="shared" si="91"/>
        <v>2.0216881265746656E-2</v>
      </c>
      <c r="Q858" s="3">
        <f t="shared" si="92"/>
        <v>1.42789913697479</v>
      </c>
      <c r="R858" s="4">
        <f t="shared" si="97"/>
        <v>0</v>
      </c>
      <c r="S858" s="3">
        <f t="shared" si="93"/>
        <v>0</v>
      </c>
      <c r="T858" s="4">
        <f t="shared" si="94"/>
        <v>0</v>
      </c>
      <c r="U858" s="3">
        <f t="shared" si="95"/>
        <v>0.2886766731168145</v>
      </c>
      <c r="V858" s="5">
        <f t="shared" si="96"/>
        <v>-1</v>
      </c>
    </row>
    <row r="859" spans="1:22" x14ac:dyDescent="0.3">
      <c r="A859">
        <v>1121806</v>
      </c>
      <c r="B859" s="1">
        <v>42967</v>
      </c>
      <c r="C859" s="1">
        <v>42967</v>
      </c>
      <c r="D859" s="6" t="s">
        <v>28</v>
      </c>
      <c r="E859" s="6" t="s">
        <v>28</v>
      </c>
      <c r="F859" s="7" t="s">
        <v>22</v>
      </c>
      <c r="G859" s="7" t="s">
        <v>27</v>
      </c>
      <c r="H859" s="7">
        <v>26</v>
      </c>
      <c r="I859" s="7">
        <v>31</v>
      </c>
      <c r="J859" s="7">
        <v>30</v>
      </c>
      <c r="K859" s="7">
        <v>190560</v>
      </c>
      <c r="L859" s="7">
        <v>26</v>
      </c>
      <c r="M859" s="7">
        <v>41.63</v>
      </c>
      <c r="N859" s="7">
        <v>3</v>
      </c>
      <c r="O859" s="7">
        <v>1</v>
      </c>
      <c r="P859" s="2">
        <f t="shared" si="91"/>
        <v>1.364399664147775E-2</v>
      </c>
      <c r="Q859" s="3">
        <f t="shared" si="92"/>
        <v>1.6011538461538461</v>
      </c>
      <c r="R859" s="4">
        <f t="shared" si="97"/>
        <v>3.8461538461538464E-2</v>
      </c>
      <c r="S859" s="3">
        <f t="shared" si="93"/>
        <v>41.63</v>
      </c>
      <c r="T859" s="4">
        <f t="shared" si="94"/>
        <v>0.33333333333333331</v>
      </c>
      <c r="U859" s="3">
        <f t="shared" si="95"/>
        <v>0.21846137699412257</v>
      </c>
      <c r="V859" s="5">
        <f t="shared" si="96"/>
        <v>0.2010569300984866</v>
      </c>
    </row>
    <row r="860" spans="1:22" x14ac:dyDescent="0.3">
      <c r="A860">
        <v>1121807</v>
      </c>
      <c r="B860" s="1">
        <v>42967</v>
      </c>
      <c r="C860" s="1">
        <v>42967</v>
      </c>
      <c r="D860" s="6" t="s">
        <v>28</v>
      </c>
      <c r="E860" s="6" t="s">
        <v>28</v>
      </c>
      <c r="F860" s="8" t="s">
        <v>22</v>
      </c>
      <c r="G860" s="8" t="s">
        <v>27</v>
      </c>
      <c r="H860" s="8">
        <v>26</v>
      </c>
      <c r="I860" s="8">
        <v>30</v>
      </c>
      <c r="J860" s="8">
        <v>32</v>
      </c>
      <c r="K860" s="8">
        <v>373110</v>
      </c>
      <c r="L860" s="8">
        <v>49</v>
      </c>
      <c r="M860" s="8">
        <v>75.700000759999995</v>
      </c>
      <c r="N860" s="8">
        <v>4</v>
      </c>
      <c r="O860" s="8">
        <v>2</v>
      </c>
      <c r="P860" s="2">
        <f t="shared" si="91"/>
        <v>1.3132856262228296E-2</v>
      </c>
      <c r="Q860" s="3">
        <f t="shared" si="92"/>
        <v>1.5448979746938774</v>
      </c>
      <c r="R860" s="4">
        <f t="shared" si="97"/>
        <v>4.0816326530612242E-2</v>
      </c>
      <c r="S860" s="3">
        <f t="shared" si="93"/>
        <v>37.850000379999997</v>
      </c>
      <c r="T860" s="4">
        <f t="shared" si="94"/>
        <v>0.5</v>
      </c>
      <c r="U860" s="3">
        <f t="shared" si="95"/>
        <v>0.20288923041462303</v>
      </c>
      <c r="V860" s="5">
        <f t="shared" si="96"/>
        <v>0.32100394974949809</v>
      </c>
    </row>
    <row r="861" spans="1:22" x14ac:dyDescent="0.3">
      <c r="A861">
        <v>1121812</v>
      </c>
      <c r="B861" s="1">
        <v>42967</v>
      </c>
      <c r="C861" s="1">
        <v>42967</v>
      </c>
      <c r="D861" s="6" t="s">
        <v>28</v>
      </c>
      <c r="E861" s="6" t="s">
        <v>28</v>
      </c>
      <c r="F861" s="7" t="s">
        <v>22</v>
      </c>
      <c r="G861" s="7" t="s">
        <v>27</v>
      </c>
      <c r="H861" s="7">
        <v>27</v>
      </c>
      <c r="I861" s="7">
        <v>33</v>
      </c>
      <c r="J861" s="7">
        <v>29</v>
      </c>
      <c r="K861" s="7">
        <v>935646</v>
      </c>
      <c r="L861" s="7">
        <v>170</v>
      </c>
      <c r="M861" s="7">
        <v>256.46999820000002</v>
      </c>
      <c r="N861" s="7">
        <v>19</v>
      </c>
      <c r="O861" s="7">
        <v>6</v>
      </c>
      <c r="P861" s="2">
        <f t="shared" si="91"/>
        <v>1.8169264871543297E-2</v>
      </c>
      <c r="Q861" s="3">
        <f t="shared" si="92"/>
        <v>1.5086470482352943</v>
      </c>
      <c r="R861" s="4">
        <f t="shared" si="97"/>
        <v>3.5294117647058823E-2</v>
      </c>
      <c r="S861" s="3">
        <f t="shared" si="93"/>
        <v>42.744999700000001</v>
      </c>
      <c r="T861" s="4">
        <f t="shared" si="94"/>
        <v>0.31578947368421051</v>
      </c>
      <c r="U861" s="3">
        <f t="shared" si="95"/>
        <v>0.27411007817059019</v>
      </c>
      <c r="V861" s="5">
        <f t="shared" si="96"/>
        <v>0.16972746171290759</v>
      </c>
    </row>
    <row r="862" spans="1:22" x14ac:dyDescent="0.3">
      <c r="A862">
        <v>1121814</v>
      </c>
      <c r="B862" s="1">
        <v>42968</v>
      </c>
      <c r="C862" s="1">
        <v>42968</v>
      </c>
      <c r="D862" s="6" t="s">
        <v>28</v>
      </c>
      <c r="E862" s="6" t="s">
        <v>28</v>
      </c>
      <c r="F862" s="8" t="s">
        <v>22</v>
      </c>
      <c r="G862" s="8" t="s">
        <v>27</v>
      </c>
      <c r="H862" s="8">
        <v>27</v>
      </c>
      <c r="I862" s="8">
        <v>28</v>
      </c>
      <c r="J862" s="8">
        <v>31</v>
      </c>
      <c r="K862" s="8">
        <v>2223278</v>
      </c>
      <c r="L862" s="8">
        <v>421</v>
      </c>
      <c r="M862" s="8">
        <v>612.30000319999999</v>
      </c>
      <c r="N862" s="8">
        <v>38</v>
      </c>
      <c r="O862" s="8">
        <v>13</v>
      </c>
      <c r="P862" s="2">
        <f t="shared" si="91"/>
        <v>1.89360035047349E-2</v>
      </c>
      <c r="Q862" s="3">
        <f t="shared" si="92"/>
        <v>1.4543943068883611</v>
      </c>
      <c r="R862" s="4">
        <f t="shared" si="97"/>
        <v>3.0878859857482184E-2</v>
      </c>
      <c r="S862" s="3">
        <f t="shared" si="93"/>
        <v>47.100000246153847</v>
      </c>
      <c r="T862" s="4">
        <f t="shared" si="94"/>
        <v>0.34210526315789475</v>
      </c>
      <c r="U862" s="3">
        <f t="shared" si="95"/>
        <v>0.27540415692504494</v>
      </c>
      <c r="V862" s="5">
        <f t="shared" si="96"/>
        <v>6.1571119717413726E-2</v>
      </c>
    </row>
    <row r="863" spans="1:22" x14ac:dyDescent="0.3">
      <c r="A863">
        <v>1121815</v>
      </c>
      <c r="B863" s="1">
        <v>42968</v>
      </c>
      <c r="C863" s="1">
        <v>42968</v>
      </c>
      <c r="D863" s="6" t="s">
        <v>28</v>
      </c>
      <c r="E863" s="6" t="s">
        <v>28</v>
      </c>
      <c r="F863" s="7" t="s">
        <v>22</v>
      </c>
      <c r="G863" s="7" t="s">
        <v>27</v>
      </c>
      <c r="H863" s="7">
        <v>27</v>
      </c>
      <c r="I863" s="7">
        <v>33</v>
      </c>
      <c r="J863" s="7">
        <v>28</v>
      </c>
      <c r="K863" s="7">
        <v>240497</v>
      </c>
      <c r="L863" s="7">
        <v>36</v>
      </c>
      <c r="M863" s="7">
        <v>51.840000869999997</v>
      </c>
      <c r="N863" s="7">
        <v>1</v>
      </c>
      <c r="O863" s="7">
        <v>0</v>
      </c>
      <c r="P863" s="2">
        <f t="shared" si="91"/>
        <v>1.4969001692328803E-2</v>
      </c>
      <c r="Q863" s="3">
        <f t="shared" si="92"/>
        <v>1.4400000241666666</v>
      </c>
      <c r="R863" s="4">
        <f t="shared" si="97"/>
        <v>0</v>
      </c>
      <c r="S863" s="3">
        <f t="shared" si="93"/>
        <v>0</v>
      </c>
      <c r="T863" s="4">
        <f t="shared" si="94"/>
        <v>0</v>
      </c>
      <c r="U863" s="3">
        <f t="shared" si="95"/>
        <v>0.2155536279870435</v>
      </c>
      <c r="V863" s="5">
        <f t="shared" si="96"/>
        <v>-1</v>
      </c>
    </row>
    <row r="864" spans="1:22" x14ac:dyDescent="0.3">
      <c r="A864">
        <v>1121816</v>
      </c>
      <c r="B864" s="1">
        <v>42968</v>
      </c>
      <c r="C864" s="1">
        <v>42968</v>
      </c>
      <c r="D864" s="6" t="s">
        <v>28</v>
      </c>
      <c r="E864" s="6" t="s">
        <v>28</v>
      </c>
      <c r="F864" s="8" t="s">
        <v>22</v>
      </c>
      <c r="G864" s="8" t="s">
        <v>27</v>
      </c>
      <c r="H864" s="8">
        <v>27</v>
      </c>
      <c r="I864" s="8">
        <v>30</v>
      </c>
      <c r="J864" s="8">
        <v>30</v>
      </c>
      <c r="K864" s="8">
        <v>259984</v>
      </c>
      <c r="L864" s="8">
        <v>37</v>
      </c>
      <c r="M864" s="8">
        <v>54.790000200000001</v>
      </c>
      <c r="N864" s="8">
        <v>5</v>
      </c>
      <c r="O864" s="8">
        <v>0</v>
      </c>
      <c r="P864" s="2">
        <f t="shared" si="91"/>
        <v>1.4231645024309188E-2</v>
      </c>
      <c r="Q864" s="3">
        <f t="shared" si="92"/>
        <v>1.4808108162162164</v>
      </c>
      <c r="R864" s="4">
        <f t="shared" si="97"/>
        <v>0</v>
      </c>
      <c r="S864" s="3">
        <f t="shared" si="93"/>
        <v>0</v>
      </c>
      <c r="T864" s="4">
        <f t="shared" si="94"/>
        <v>0</v>
      </c>
      <c r="U864" s="3">
        <f t="shared" si="95"/>
        <v>0.2107437388454674</v>
      </c>
      <c r="V864" s="5">
        <f t="shared" si="96"/>
        <v>-1</v>
      </c>
    </row>
    <row r="865" spans="1:22" x14ac:dyDescent="0.3">
      <c r="A865">
        <v>1121817</v>
      </c>
      <c r="B865" s="1">
        <v>42968</v>
      </c>
      <c r="C865" s="1">
        <v>42968</v>
      </c>
      <c r="D865" s="6" t="s">
        <v>28</v>
      </c>
      <c r="E865" s="6" t="s">
        <v>28</v>
      </c>
      <c r="F865" s="7" t="s">
        <v>22</v>
      </c>
      <c r="G865" s="7" t="s">
        <v>27</v>
      </c>
      <c r="H865" s="7">
        <v>28</v>
      </c>
      <c r="I865" s="7">
        <v>31</v>
      </c>
      <c r="J865" s="7">
        <v>29</v>
      </c>
      <c r="K865" s="7">
        <v>606786</v>
      </c>
      <c r="L865" s="7">
        <v>127</v>
      </c>
      <c r="M865" s="7">
        <v>179.05000100000001</v>
      </c>
      <c r="N865" s="7">
        <v>11</v>
      </c>
      <c r="O865" s="7">
        <v>3</v>
      </c>
      <c r="P865" s="2">
        <f t="shared" si="91"/>
        <v>2.0929948944108795E-2</v>
      </c>
      <c r="Q865" s="3">
        <f t="shared" si="92"/>
        <v>1.4098425275590551</v>
      </c>
      <c r="R865" s="4">
        <f t="shared" si="97"/>
        <v>2.3622047244094488E-2</v>
      </c>
      <c r="S865" s="3">
        <f t="shared" si="93"/>
        <v>59.68333366666667</v>
      </c>
      <c r="T865" s="4">
        <f t="shared" si="94"/>
        <v>0.27272727272727271</v>
      </c>
      <c r="U865" s="3">
        <f t="shared" si="95"/>
        <v>0.29507932121044322</v>
      </c>
      <c r="V865" s="5">
        <f t="shared" si="96"/>
        <v>-0.1622451875886893</v>
      </c>
    </row>
    <row r="866" spans="1:22" x14ac:dyDescent="0.3">
      <c r="A866">
        <v>1121818</v>
      </c>
      <c r="B866" s="1">
        <v>42968</v>
      </c>
      <c r="C866" s="1">
        <v>42968</v>
      </c>
      <c r="D866" s="6" t="s">
        <v>28</v>
      </c>
      <c r="E866" s="6" t="s">
        <v>28</v>
      </c>
      <c r="F866" s="8" t="s">
        <v>22</v>
      </c>
      <c r="G866" s="8" t="s">
        <v>27</v>
      </c>
      <c r="H866" s="8">
        <v>28</v>
      </c>
      <c r="I866" s="8">
        <v>31</v>
      </c>
      <c r="J866" s="8">
        <v>34</v>
      </c>
      <c r="K866" s="8">
        <v>83270</v>
      </c>
      <c r="L866" s="8">
        <v>13</v>
      </c>
      <c r="M866" s="8">
        <v>17.740000009999999</v>
      </c>
      <c r="N866" s="8">
        <v>1</v>
      </c>
      <c r="O866" s="8">
        <v>0</v>
      </c>
      <c r="P866" s="2">
        <f t="shared" si="91"/>
        <v>1.5611865017413235E-2</v>
      </c>
      <c r="Q866" s="3">
        <f t="shared" si="92"/>
        <v>1.3646153853846152</v>
      </c>
      <c r="R866" s="4">
        <f t="shared" si="97"/>
        <v>0</v>
      </c>
      <c r="S866" s="3">
        <f t="shared" si="93"/>
        <v>0</v>
      </c>
      <c r="T866" s="4">
        <f t="shared" si="94"/>
        <v>0</v>
      </c>
      <c r="U866" s="3">
        <f t="shared" si="95"/>
        <v>0.21304191197309955</v>
      </c>
      <c r="V866" s="5">
        <f t="shared" si="96"/>
        <v>-1</v>
      </c>
    </row>
    <row r="867" spans="1:22" x14ac:dyDescent="0.3">
      <c r="A867">
        <v>1121819</v>
      </c>
      <c r="B867" s="1">
        <v>42968</v>
      </c>
      <c r="C867" s="1">
        <v>42968</v>
      </c>
      <c r="D867" s="6" t="s">
        <v>28</v>
      </c>
      <c r="E867" s="6" t="s">
        <v>28</v>
      </c>
      <c r="F867" s="7" t="s">
        <v>22</v>
      </c>
      <c r="G867" s="7" t="s">
        <v>27</v>
      </c>
      <c r="H867" s="7">
        <v>28</v>
      </c>
      <c r="I867" s="7">
        <v>34</v>
      </c>
      <c r="J867" s="7">
        <v>29</v>
      </c>
      <c r="K867" s="7">
        <v>1189509</v>
      </c>
      <c r="L867" s="7">
        <v>268</v>
      </c>
      <c r="M867" s="7">
        <v>375.71999629999999</v>
      </c>
      <c r="N867" s="7">
        <v>7</v>
      </c>
      <c r="O867" s="7">
        <v>3</v>
      </c>
      <c r="P867" s="2">
        <f t="shared" si="91"/>
        <v>2.253030452060472E-2</v>
      </c>
      <c r="Q867" s="3">
        <f t="shared" si="92"/>
        <v>1.4019402847014926</v>
      </c>
      <c r="R867" s="4">
        <f t="shared" si="97"/>
        <v>1.1194029850746268E-2</v>
      </c>
      <c r="S867" s="3">
        <f t="shared" si="93"/>
        <v>125.23999876666666</v>
      </c>
      <c r="T867" s="4">
        <f t="shared" si="94"/>
        <v>0.42857142857142855</v>
      </c>
      <c r="U867" s="3">
        <f t="shared" si="95"/>
        <v>0.31586141534027906</v>
      </c>
      <c r="V867" s="5">
        <f t="shared" si="96"/>
        <v>-0.60076652433417477</v>
      </c>
    </row>
    <row r="868" spans="1:22" x14ac:dyDescent="0.3">
      <c r="A868">
        <v>1121820</v>
      </c>
      <c r="B868" s="1">
        <v>42969</v>
      </c>
      <c r="C868" s="1">
        <v>42969</v>
      </c>
      <c r="D868" s="6" t="s">
        <v>28</v>
      </c>
      <c r="E868" s="6" t="s">
        <v>28</v>
      </c>
      <c r="F868" s="8" t="s">
        <v>22</v>
      </c>
      <c r="G868" s="8" t="s">
        <v>27</v>
      </c>
      <c r="H868" s="8">
        <v>28</v>
      </c>
      <c r="I868" s="8">
        <v>29</v>
      </c>
      <c r="J868" s="8">
        <v>32</v>
      </c>
      <c r="K868" s="8">
        <v>11471</v>
      </c>
      <c r="L868" s="8">
        <v>1</v>
      </c>
      <c r="M868" s="8">
        <v>1.5700000519999999</v>
      </c>
      <c r="N868" s="8">
        <v>0</v>
      </c>
      <c r="O868" s="8">
        <v>0</v>
      </c>
      <c r="P868" s="2">
        <f t="shared" si="91"/>
        <v>8.7176357771772302E-3</v>
      </c>
      <c r="Q868" s="3">
        <f t="shared" si="92"/>
        <v>1.5700000519999999</v>
      </c>
      <c r="R868" s="4">
        <f t="shared" si="97"/>
        <v>0</v>
      </c>
      <c r="S868" s="3">
        <f t="shared" si="93"/>
        <v>0</v>
      </c>
      <c r="T868" s="4">
        <f t="shared" si="94"/>
        <v>0</v>
      </c>
      <c r="U868" s="3">
        <f t="shared" si="95"/>
        <v>0.1368668862348531</v>
      </c>
      <c r="V868" s="5">
        <f t="shared" si="96"/>
        <v>-1</v>
      </c>
    </row>
    <row r="869" spans="1:22" x14ac:dyDescent="0.3">
      <c r="A869">
        <v>1121824</v>
      </c>
      <c r="B869" s="1">
        <v>42969</v>
      </c>
      <c r="C869" s="1">
        <v>42969</v>
      </c>
      <c r="D869" s="6" t="s">
        <v>28</v>
      </c>
      <c r="E869" s="6" t="s">
        <v>28</v>
      </c>
      <c r="F869" s="7" t="s">
        <v>22</v>
      </c>
      <c r="G869" s="7" t="s">
        <v>27</v>
      </c>
      <c r="H869" s="7">
        <v>29</v>
      </c>
      <c r="I869" s="7">
        <v>35</v>
      </c>
      <c r="J869" s="7">
        <v>34</v>
      </c>
      <c r="K869" s="7">
        <v>1705246</v>
      </c>
      <c r="L869" s="7">
        <v>295</v>
      </c>
      <c r="M869" s="7">
        <v>429.47999809999999</v>
      </c>
      <c r="N869" s="7">
        <v>23</v>
      </c>
      <c r="O869" s="7">
        <v>10</v>
      </c>
      <c r="P869" s="2">
        <f t="shared" si="91"/>
        <v>1.7299556779491056E-2</v>
      </c>
      <c r="Q869" s="3">
        <f t="shared" si="92"/>
        <v>1.4558644003389831</v>
      </c>
      <c r="R869" s="4">
        <f t="shared" si="97"/>
        <v>3.3898305084745763E-2</v>
      </c>
      <c r="S869" s="3">
        <f t="shared" si="93"/>
        <v>42.947999809999999</v>
      </c>
      <c r="T869" s="4">
        <f t="shared" si="94"/>
        <v>0.43478260869565216</v>
      </c>
      <c r="U869" s="3">
        <f t="shared" si="95"/>
        <v>0.2518580885690393</v>
      </c>
      <c r="V869" s="5">
        <f t="shared" si="96"/>
        <v>0.16419857085772865</v>
      </c>
    </row>
    <row r="870" spans="1:22" x14ac:dyDescent="0.3">
      <c r="A870">
        <v>1121826</v>
      </c>
      <c r="B870" s="1">
        <v>42970</v>
      </c>
      <c r="C870" s="1">
        <v>42970</v>
      </c>
      <c r="D870" s="6" t="s">
        <v>28</v>
      </c>
      <c r="E870" s="6" t="s">
        <v>28</v>
      </c>
      <c r="F870" s="8" t="s">
        <v>22</v>
      </c>
      <c r="G870" s="8" t="s">
        <v>27</v>
      </c>
      <c r="H870" s="8">
        <v>29</v>
      </c>
      <c r="I870" s="8">
        <v>31</v>
      </c>
      <c r="J870" s="8">
        <v>30</v>
      </c>
      <c r="K870" s="8">
        <v>418016</v>
      </c>
      <c r="L870" s="8">
        <v>63</v>
      </c>
      <c r="M870" s="8">
        <v>95.850000499999993</v>
      </c>
      <c r="N870" s="8">
        <v>3</v>
      </c>
      <c r="O870" s="8">
        <v>1</v>
      </c>
      <c r="P870" s="2">
        <f t="shared" si="91"/>
        <v>1.5071193447140779E-2</v>
      </c>
      <c r="Q870" s="3">
        <f t="shared" si="92"/>
        <v>1.5214285793650792</v>
      </c>
      <c r="R870" s="4">
        <f t="shared" si="97"/>
        <v>1.5873015873015872E-2</v>
      </c>
      <c r="S870" s="3">
        <f t="shared" si="93"/>
        <v>95.850000499999993</v>
      </c>
      <c r="T870" s="4">
        <f t="shared" si="94"/>
        <v>0.33333333333333331</v>
      </c>
      <c r="U870" s="3">
        <f t="shared" si="95"/>
        <v>0.22929744435619689</v>
      </c>
      <c r="V870" s="5">
        <f t="shared" si="96"/>
        <v>-0.47835159374881792</v>
      </c>
    </row>
    <row r="871" spans="1:22" x14ac:dyDescent="0.3">
      <c r="A871">
        <v>1121827</v>
      </c>
      <c r="B871" s="1">
        <v>42970</v>
      </c>
      <c r="C871" s="1">
        <v>42970</v>
      </c>
      <c r="D871" s="6" t="s">
        <v>28</v>
      </c>
      <c r="E871" s="6" t="s">
        <v>28</v>
      </c>
      <c r="F871" s="7" t="s">
        <v>22</v>
      </c>
      <c r="G871" s="7" t="s">
        <v>27</v>
      </c>
      <c r="H871" s="7">
        <v>29</v>
      </c>
      <c r="I871" s="7">
        <v>31</v>
      </c>
      <c r="J871" s="7">
        <v>30</v>
      </c>
      <c r="K871" s="7">
        <v>30155</v>
      </c>
      <c r="L871" s="7">
        <v>3</v>
      </c>
      <c r="M871" s="7">
        <v>3.8199999330000001</v>
      </c>
      <c r="N871" s="7">
        <v>1</v>
      </c>
      <c r="O871" s="7">
        <v>0</v>
      </c>
      <c r="P871" s="2">
        <f t="shared" si="91"/>
        <v>9.9485989056541206E-3</v>
      </c>
      <c r="Q871" s="3">
        <f t="shared" si="92"/>
        <v>1.273333311</v>
      </c>
      <c r="R871" s="4">
        <f t="shared" si="97"/>
        <v>0</v>
      </c>
      <c r="S871" s="3">
        <f t="shared" si="93"/>
        <v>0</v>
      </c>
      <c r="T871" s="4">
        <f t="shared" si="94"/>
        <v>0</v>
      </c>
      <c r="U871" s="3">
        <f t="shared" si="95"/>
        <v>0.12667882384347537</v>
      </c>
      <c r="V871" s="5">
        <f t="shared" si="96"/>
        <v>-1</v>
      </c>
    </row>
    <row r="872" spans="1:22" x14ac:dyDescent="0.3">
      <c r="A872">
        <v>1121828</v>
      </c>
      <c r="B872" s="1">
        <v>42970</v>
      </c>
      <c r="C872" s="1">
        <v>42970</v>
      </c>
      <c r="D872" s="6" t="s">
        <v>28</v>
      </c>
      <c r="E872" s="6" t="s">
        <v>28</v>
      </c>
      <c r="F872" s="8" t="s">
        <v>22</v>
      </c>
      <c r="G872" s="8" t="s">
        <v>27</v>
      </c>
      <c r="H872" s="8">
        <v>29</v>
      </c>
      <c r="I872" s="8">
        <v>33</v>
      </c>
      <c r="J872" s="8">
        <v>33</v>
      </c>
      <c r="K872" s="8">
        <v>990404</v>
      </c>
      <c r="L872" s="8">
        <v>153</v>
      </c>
      <c r="M872" s="8">
        <v>226.53999920000001</v>
      </c>
      <c r="N872" s="8">
        <v>12</v>
      </c>
      <c r="O872" s="8">
        <v>6</v>
      </c>
      <c r="P872" s="2">
        <f t="shared" si="91"/>
        <v>1.5448241323742635E-2</v>
      </c>
      <c r="Q872" s="3">
        <f t="shared" si="92"/>
        <v>1.4806535895424837</v>
      </c>
      <c r="R872" s="4">
        <f t="shared" si="97"/>
        <v>3.9215686274509803E-2</v>
      </c>
      <c r="S872" s="3">
        <f t="shared" si="93"/>
        <v>37.756666533333338</v>
      </c>
      <c r="T872" s="4">
        <f t="shared" si="94"/>
        <v>0.5</v>
      </c>
      <c r="U872" s="3">
        <f t="shared" si="95"/>
        <v>0.22873493968118064</v>
      </c>
      <c r="V872" s="5">
        <f t="shared" si="96"/>
        <v>0.32426944936618496</v>
      </c>
    </row>
    <row r="873" spans="1:22" x14ac:dyDescent="0.3">
      <c r="A873">
        <v>1121829</v>
      </c>
      <c r="B873" s="1">
        <v>42971</v>
      </c>
      <c r="C873" s="1">
        <v>42971</v>
      </c>
      <c r="D873" s="6" t="s">
        <v>28</v>
      </c>
      <c r="E873" s="6" t="s">
        <v>28</v>
      </c>
      <c r="F873" s="7" t="s">
        <v>22</v>
      </c>
      <c r="G873" s="7" t="s">
        <v>27</v>
      </c>
      <c r="H873" s="7">
        <v>30</v>
      </c>
      <c r="I873" s="7">
        <v>35</v>
      </c>
      <c r="J873" s="7">
        <v>35</v>
      </c>
      <c r="K873" s="7">
        <v>187468</v>
      </c>
      <c r="L873" s="7">
        <v>34</v>
      </c>
      <c r="M873" s="7">
        <v>50.72000062</v>
      </c>
      <c r="N873" s="7">
        <v>2</v>
      </c>
      <c r="O873" s="7">
        <v>1</v>
      </c>
      <c r="P873" s="2">
        <f t="shared" si="91"/>
        <v>1.813642861715066E-2</v>
      </c>
      <c r="Q873" s="3">
        <f t="shared" si="92"/>
        <v>1.491764724117647</v>
      </c>
      <c r="R873" s="4">
        <f t="shared" si="97"/>
        <v>2.9411764705882353E-2</v>
      </c>
      <c r="S873" s="3">
        <f t="shared" si="93"/>
        <v>50.72000062</v>
      </c>
      <c r="T873" s="4">
        <f t="shared" si="94"/>
        <v>0.5</v>
      </c>
      <c r="U873" s="3">
        <f t="shared" si="95"/>
        <v>0.27055284432543153</v>
      </c>
      <c r="V873" s="5">
        <f t="shared" si="96"/>
        <v>-1.419559564666268E-2</v>
      </c>
    </row>
    <row r="874" spans="1:22" x14ac:dyDescent="0.3">
      <c r="A874">
        <v>1121832</v>
      </c>
      <c r="B874" s="1">
        <v>42971</v>
      </c>
      <c r="C874" s="1">
        <v>42971</v>
      </c>
      <c r="D874" s="6" t="s">
        <v>28</v>
      </c>
      <c r="E874" s="6" t="s">
        <v>28</v>
      </c>
      <c r="F874" s="8" t="s">
        <v>22</v>
      </c>
      <c r="G874" s="8" t="s">
        <v>27</v>
      </c>
      <c r="H874" s="8">
        <v>30</v>
      </c>
      <c r="I874" s="8">
        <v>36</v>
      </c>
      <c r="J874" s="8">
        <v>36</v>
      </c>
      <c r="K874" s="8">
        <v>208301</v>
      </c>
      <c r="L874" s="8">
        <v>33</v>
      </c>
      <c r="M874" s="8">
        <v>54.570000890000003</v>
      </c>
      <c r="N874" s="8">
        <v>1</v>
      </c>
      <c r="O874" s="8">
        <v>0</v>
      </c>
      <c r="P874" s="2">
        <f t="shared" si="91"/>
        <v>1.584245874959794E-2</v>
      </c>
      <c r="Q874" s="3">
        <f t="shared" si="92"/>
        <v>1.6536363906060607</v>
      </c>
      <c r="R874" s="4">
        <f t="shared" si="97"/>
        <v>0</v>
      </c>
      <c r="S874" s="3">
        <f t="shared" si="93"/>
        <v>0</v>
      </c>
      <c r="T874" s="4">
        <f t="shared" si="94"/>
        <v>0</v>
      </c>
      <c r="U874" s="3">
        <f t="shared" si="95"/>
        <v>0.26197666305010542</v>
      </c>
      <c r="V874" s="5">
        <f t="shared" si="96"/>
        <v>-1</v>
      </c>
    </row>
    <row r="875" spans="1:22" x14ac:dyDescent="0.3">
      <c r="A875">
        <v>1121833</v>
      </c>
      <c r="B875" s="1">
        <v>42971</v>
      </c>
      <c r="C875" s="1">
        <v>42971</v>
      </c>
      <c r="D875" s="6" t="s">
        <v>28</v>
      </c>
      <c r="E875" s="6" t="s">
        <v>28</v>
      </c>
      <c r="F875" s="7" t="s">
        <v>22</v>
      </c>
      <c r="G875" s="7" t="s">
        <v>27</v>
      </c>
      <c r="H875" s="7">
        <v>30</v>
      </c>
      <c r="I875" s="7">
        <v>36</v>
      </c>
      <c r="J875" s="7">
        <v>36</v>
      </c>
      <c r="K875" s="7">
        <v>101856</v>
      </c>
      <c r="L875" s="7">
        <v>16</v>
      </c>
      <c r="M875" s="7">
        <v>25.220000389999999</v>
      </c>
      <c r="N875" s="7">
        <v>4</v>
      </c>
      <c r="O875" s="7">
        <v>1</v>
      </c>
      <c r="P875" s="2">
        <f t="shared" si="91"/>
        <v>1.5708451146716932E-2</v>
      </c>
      <c r="Q875" s="3">
        <f t="shared" si="92"/>
        <v>1.5762500243749999</v>
      </c>
      <c r="R875" s="4">
        <f t="shared" si="97"/>
        <v>6.25E-2</v>
      </c>
      <c r="S875" s="3">
        <f t="shared" si="93"/>
        <v>25.220000389999999</v>
      </c>
      <c r="T875" s="4">
        <f t="shared" si="94"/>
        <v>0.25</v>
      </c>
      <c r="U875" s="3">
        <f t="shared" si="95"/>
        <v>0.24760446502906064</v>
      </c>
      <c r="V875" s="5">
        <f t="shared" si="96"/>
        <v>0.98255349828723781</v>
      </c>
    </row>
    <row r="876" spans="1:22" x14ac:dyDescent="0.3">
      <c r="A876">
        <v>1121835</v>
      </c>
      <c r="B876" s="1">
        <v>42971</v>
      </c>
      <c r="C876" s="1">
        <v>42971</v>
      </c>
      <c r="D876" s="6" t="s">
        <v>28</v>
      </c>
      <c r="E876" s="6" t="s">
        <v>28</v>
      </c>
      <c r="F876" s="8" t="s">
        <v>22</v>
      </c>
      <c r="G876" s="8" t="s">
        <v>27</v>
      </c>
      <c r="H876" s="8">
        <v>31</v>
      </c>
      <c r="I876" s="8">
        <v>35</v>
      </c>
      <c r="J876" s="8">
        <v>36</v>
      </c>
      <c r="K876" s="8">
        <v>48935</v>
      </c>
      <c r="L876" s="8">
        <v>7</v>
      </c>
      <c r="M876" s="8">
        <v>9.9700002669999996</v>
      </c>
      <c r="N876" s="8">
        <v>1</v>
      </c>
      <c r="O876" s="8">
        <v>1</v>
      </c>
      <c r="P876" s="2">
        <f t="shared" si="91"/>
        <v>1.4304689894758353E-2</v>
      </c>
      <c r="Q876" s="3">
        <f t="shared" si="92"/>
        <v>1.4242857524285715</v>
      </c>
      <c r="R876" s="4">
        <f t="shared" si="97"/>
        <v>0.14285714285714285</v>
      </c>
      <c r="S876" s="3">
        <f t="shared" si="93"/>
        <v>9.9700002669999996</v>
      </c>
      <c r="T876" s="4">
        <f t="shared" si="94"/>
        <v>1</v>
      </c>
      <c r="U876" s="3">
        <f t="shared" si="95"/>
        <v>0.20373966010013281</v>
      </c>
      <c r="V876" s="5">
        <f t="shared" si="96"/>
        <v>4.015045001101603</v>
      </c>
    </row>
    <row r="877" spans="1:22" x14ac:dyDescent="0.3">
      <c r="A877">
        <v>1121839</v>
      </c>
      <c r="B877" s="1">
        <v>42971</v>
      </c>
      <c r="C877" s="1">
        <v>42971</v>
      </c>
      <c r="D877" s="6" t="s">
        <v>28</v>
      </c>
      <c r="E877" s="6" t="s">
        <v>28</v>
      </c>
      <c r="F877" s="7" t="s">
        <v>22</v>
      </c>
      <c r="G877" s="7" t="s">
        <v>27</v>
      </c>
      <c r="H877" s="7">
        <v>31</v>
      </c>
      <c r="I877" s="7">
        <v>33</v>
      </c>
      <c r="J877" s="7">
        <v>34</v>
      </c>
      <c r="K877" s="7">
        <v>13911</v>
      </c>
      <c r="L877" s="7">
        <v>1</v>
      </c>
      <c r="M877" s="7">
        <v>1.730000019</v>
      </c>
      <c r="N877" s="7">
        <v>1</v>
      </c>
      <c r="O877" s="7">
        <v>1</v>
      </c>
      <c r="P877" s="2">
        <f t="shared" si="91"/>
        <v>7.1885558191359354E-3</v>
      </c>
      <c r="Q877" s="3">
        <f t="shared" si="92"/>
        <v>1.730000019</v>
      </c>
      <c r="R877" s="4">
        <f t="shared" si="97"/>
        <v>1</v>
      </c>
      <c r="S877" s="3">
        <f t="shared" si="93"/>
        <v>1.730000019</v>
      </c>
      <c r="T877" s="4">
        <f t="shared" si="94"/>
        <v>1</v>
      </c>
      <c r="U877" s="3">
        <f t="shared" si="95"/>
        <v>0.1243620170368773</v>
      </c>
      <c r="V877" s="5">
        <f t="shared" si="96"/>
        <v>27.901733786628355</v>
      </c>
    </row>
    <row r="878" spans="1:22" x14ac:dyDescent="0.3">
      <c r="A878">
        <v>1121841</v>
      </c>
      <c r="B878" s="1">
        <v>42970</v>
      </c>
      <c r="C878" s="1">
        <v>42970</v>
      </c>
      <c r="D878" s="6" t="s">
        <v>28</v>
      </c>
      <c r="E878" s="6" t="s">
        <v>28</v>
      </c>
      <c r="F878" s="8" t="s">
        <v>22</v>
      </c>
      <c r="G878" s="8" t="s">
        <v>27</v>
      </c>
      <c r="H878" s="8">
        <v>32</v>
      </c>
      <c r="I878" s="8">
        <v>38</v>
      </c>
      <c r="J878" s="8">
        <v>34</v>
      </c>
      <c r="K878" s="8">
        <v>511726</v>
      </c>
      <c r="L878" s="8">
        <v>77</v>
      </c>
      <c r="M878" s="8">
        <v>123.0900019</v>
      </c>
      <c r="N878" s="8">
        <v>8</v>
      </c>
      <c r="O878" s="8">
        <v>4</v>
      </c>
      <c r="P878" s="2">
        <f t="shared" si="91"/>
        <v>1.5047115057667581E-2</v>
      </c>
      <c r="Q878" s="3">
        <f t="shared" si="92"/>
        <v>1.5985714532467532</v>
      </c>
      <c r="R878" s="4">
        <f t="shared" si="97"/>
        <v>5.1948051948051951E-2</v>
      </c>
      <c r="S878" s="3">
        <f t="shared" si="93"/>
        <v>30.772500475000001</v>
      </c>
      <c r="T878" s="4">
        <f t="shared" si="94"/>
        <v>0.5</v>
      </c>
      <c r="U878" s="3">
        <f t="shared" si="95"/>
        <v>0.24053888584906769</v>
      </c>
      <c r="V878" s="5">
        <f t="shared" si="96"/>
        <v>0.62482733701217041</v>
      </c>
    </row>
    <row r="879" spans="1:22" x14ac:dyDescent="0.3">
      <c r="A879">
        <v>1121843</v>
      </c>
      <c r="B879" s="1">
        <v>42970</v>
      </c>
      <c r="C879" s="1">
        <v>42970</v>
      </c>
      <c r="D879" s="6" t="s">
        <v>28</v>
      </c>
      <c r="E879" s="6" t="s">
        <v>28</v>
      </c>
      <c r="F879" s="7" t="s">
        <v>22</v>
      </c>
      <c r="G879" s="7" t="s">
        <v>27</v>
      </c>
      <c r="H879" s="7">
        <v>32</v>
      </c>
      <c r="I879" s="7">
        <v>38</v>
      </c>
      <c r="J879" s="7">
        <v>37</v>
      </c>
      <c r="K879" s="7">
        <v>177452</v>
      </c>
      <c r="L879" s="7">
        <v>24</v>
      </c>
      <c r="M879" s="7">
        <v>37.830000159999997</v>
      </c>
      <c r="N879" s="7">
        <v>2</v>
      </c>
      <c r="O879" s="7">
        <v>0</v>
      </c>
      <c r="P879" s="2">
        <f t="shared" si="91"/>
        <v>1.3524784166986001E-2</v>
      </c>
      <c r="Q879" s="3">
        <f t="shared" si="92"/>
        <v>1.5762500066666665</v>
      </c>
      <c r="R879" s="4">
        <f t="shared" si="97"/>
        <v>0</v>
      </c>
      <c r="S879" s="3">
        <f t="shared" si="93"/>
        <v>0</v>
      </c>
      <c r="T879" s="4">
        <f t="shared" si="94"/>
        <v>0</v>
      </c>
      <c r="U879" s="3">
        <f t="shared" si="95"/>
        <v>0.21318441133376911</v>
      </c>
      <c r="V879" s="5">
        <f t="shared" si="96"/>
        <v>-1</v>
      </c>
    </row>
    <row r="880" spans="1:22" x14ac:dyDescent="0.3">
      <c r="A880">
        <v>1121844</v>
      </c>
      <c r="B880" s="1">
        <v>42970</v>
      </c>
      <c r="C880" s="1">
        <v>42970</v>
      </c>
      <c r="D880" s="6" t="s">
        <v>28</v>
      </c>
      <c r="E880" s="6" t="s">
        <v>28</v>
      </c>
      <c r="F880" s="8" t="s">
        <v>22</v>
      </c>
      <c r="G880" s="8" t="s">
        <v>27</v>
      </c>
      <c r="H880" s="8">
        <v>32</v>
      </c>
      <c r="I880" s="8">
        <v>38</v>
      </c>
      <c r="J880" s="8">
        <v>36</v>
      </c>
      <c r="K880" s="8">
        <v>149808</v>
      </c>
      <c r="L880" s="8">
        <v>20</v>
      </c>
      <c r="M880" s="8">
        <v>33.039999369999997</v>
      </c>
      <c r="N880" s="8">
        <v>1</v>
      </c>
      <c r="O880" s="8">
        <v>1</v>
      </c>
      <c r="P880" s="2">
        <f t="shared" si="91"/>
        <v>1.3350421873331198E-2</v>
      </c>
      <c r="Q880" s="3">
        <f t="shared" si="92"/>
        <v>1.6519999684999997</v>
      </c>
      <c r="R880" s="4">
        <f t="shared" si="97"/>
        <v>0.05</v>
      </c>
      <c r="S880" s="3">
        <f t="shared" si="93"/>
        <v>33.039999369999997</v>
      </c>
      <c r="T880" s="4">
        <f t="shared" si="94"/>
        <v>1</v>
      </c>
      <c r="U880" s="3">
        <f t="shared" si="95"/>
        <v>0.22054896514204847</v>
      </c>
      <c r="V880" s="5">
        <f t="shared" si="96"/>
        <v>0.51331722013891812</v>
      </c>
    </row>
    <row r="881" spans="1:22" x14ac:dyDescent="0.3">
      <c r="A881">
        <v>1121845</v>
      </c>
      <c r="B881" s="1">
        <v>42969</v>
      </c>
      <c r="C881" s="1">
        <v>42969</v>
      </c>
      <c r="D881" s="6" t="s">
        <v>28</v>
      </c>
      <c r="E881" s="6" t="s">
        <v>28</v>
      </c>
      <c r="F881" s="7" t="s">
        <v>22</v>
      </c>
      <c r="G881" s="7" t="s">
        <v>27</v>
      </c>
      <c r="H881" s="7">
        <v>32</v>
      </c>
      <c r="I881" s="7">
        <v>34</v>
      </c>
      <c r="J881" s="7">
        <v>38</v>
      </c>
      <c r="K881" s="7">
        <v>390339</v>
      </c>
      <c r="L881" s="7">
        <v>60</v>
      </c>
      <c r="M881" s="7">
        <v>105.0199997</v>
      </c>
      <c r="N881" s="7">
        <v>9</v>
      </c>
      <c r="O881" s="7">
        <v>6</v>
      </c>
      <c r="P881" s="2">
        <f t="shared" si="91"/>
        <v>1.5371254217487878E-2</v>
      </c>
      <c r="Q881" s="3">
        <f t="shared" si="92"/>
        <v>1.7503333283333333</v>
      </c>
      <c r="R881" s="4">
        <f t="shared" si="97"/>
        <v>0.1</v>
      </c>
      <c r="S881" s="3">
        <f t="shared" si="93"/>
        <v>17.503333283333333</v>
      </c>
      <c r="T881" s="4">
        <f t="shared" si="94"/>
        <v>0.66666666666666663</v>
      </c>
      <c r="U881" s="3">
        <f t="shared" si="95"/>
        <v>0.26904818555153343</v>
      </c>
      <c r="V881" s="5">
        <f t="shared" si="96"/>
        <v>1.8565987512567095</v>
      </c>
    </row>
    <row r="882" spans="1:22" x14ac:dyDescent="0.3">
      <c r="A882">
        <v>1121846</v>
      </c>
      <c r="B882" s="1">
        <v>42969</v>
      </c>
      <c r="C882" s="1">
        <v>42969</v>
      </c>
      <c r="D882" s="6" t="s">
        <v>28</v>
      </c>
      <c r="E882" s="6" t="s">
        <v>28</v>
      </c>
      <c r="F882" s="8" t="s">
        <v>22</v>
      </c>
      <c r="G882" s="8" t="s">
        <v>27</v>
      </c>
      <c r="H882" s="8">
        <v>32</v>
      </c>
      <c r="I882" s="8">
        <v>37</v>
      </c>
      <c r="J882" s="8">
        <v>34</v>
      </c>
      <c r="K882" s="8">
        <v>8350</v>
      </c>
      <c r="L882" s="8">
        <v>0</v>
      </c>
      <c r="M882" s="8">
        <v>0</v>
      </c>
      <c r="N882" s="8">
        <v>1</v>
      </c>
      <c r="O882" s="8">
        <v>0</v>
      </c>
      <c r="P882" s="2">
        <f t="shared" si="91"/>
        <v>0</v>
      </c>
      <c r="Q882" s="3">
        <f t="shared" si="92"/>
        <v>0</v>
      </c>
      <c r="R882" s="4">
        <f t="shared" si="97"/>
        <v>0</v>
      </c>
      <c r="S882" s="3">
        <f t="shared" si="93"/>
        <v>0</v>
      </c>
      <c r="T882" s="4">
        <f t="shared" si="94"/>
        <v>0</v>
      </c>
      <c r="U882" s="3">
        <f t="shared" si="95"/>
        <v>0</v>
      </c>
      <c r="V882" s="5">
        <f t="shared" si="96"/>
        <v>0</v>
      </c>
    </row>
    <row r="883" spans="1:22" x14ac:dyDescent="0.3">
      <c r="A883">
        <v>1121847</v>
      </c>
      <c r="B883" s="1">
        <v>42970</v>
      </c>
      <c r="C883" s="1">
        <v>42970</v>
      </c>
      <c r="D883" s="6" t="s">
        <v>28</v>
      </c>
      <c r="E883" s="6" t="s">
        <v>28</v>
      </c>
      <c r="F883" s="7" t="s">
        <v>22</v>
      </c>
      <c r="G883" s="7" t="s">
        <v>27</v>
      </c>
      <c r="H883" s="7">
        <v>36</v>
      </c>
      <c r="I883" s="7">
        <v>38</v>
      </c>
      <c r="J883" s="7">
        <v>37</v>
      </c>
      <c r="K883" s="7">
        <v>39339</v>
      </c>
      <c r="L883" s="7">
        <v>4</v>
      </c>
      <c r="M883" s="7">
        <v>5.9299999479999999</v>
      </c>
      <c r="N883" s="7">
        <v>1</v>
      </c>
      <c r="O883" s="7">
        <v>0</v>
      </c>
      <c r="P883" s="2">
        <f t="shared" si="91"/>
        <v>1.0168026640229796E-2</v>
      </c>
      <c r="Q883" s="3">
        <f t="shared" si="92"/>
        <v>1.482499987</v>
      </c>
      <c r="R883" s="4">
        <f t="shared" si="97"/>
        <v>0</v>
      </c>
      <c r="S883" s="3">
        <f t="shared" si="93"/>
        <v>0</v>
      </c>
      <c r="T883" s="4">
        <f t="shared" si="94"/>
        <v>0</v>
      </c>
      <c r="U883" s="3">
        <f t="shared" si="95"/>
        <v>0.15074099361956328</v>
      </c>
      <c r="V883" s="5">
        <f t="shared" si="96"/>
        <v>-1</v>
      </c>
    </row>
    <row r="884" spans="1:22" x14ac:dyDescent="0.3">
      <c r="A884">
        <v>1121854</v>
      </c>
      <c r="B884" s="1">
        <v>42970</v>
      </c>
      <c r="C884" s="1">
        <v>42970</v>
      </c>
      <c r="D884" s="6" t="s">
        <v>28</v>
      </c>
      <c r="E884" s="6" t="s">
        <v>28</v>
      </c>
      <c r="F884" s="8" t="s">
        <v>22</v>
      </c>
      <c r="G884" s="8" t="s">
        <v>27</v>
      </c>
      <c r="H884" s="8">
        <v>63</v>
      </c>
      <c r="I884" s="8">
        <v>65</v>
      </c>
      <c r="J884" s="8">
        <v>64</v>
      </c>
      <c r="K884" s="8">
        <v>8587</v>
      </c>
      <c r="L884" s="8">
        <v>0</v>
      </c>
      <c r="M884" s="8">
        <v>0</v>
      </c>
      <c r="N884" s="8">
        <v>1</v>
      </c>
      <c r="O884" s="8">
        <v>0</v>
      </c>
      <c r="P884" s="2">
        <f t="shared" si="91"/>
        <v>0</v>
      </c>
      <c r="Q884" s="3">
        <f t="shared" si="92"/>
        <v>0</v>
      </c>
      <c r="R884" s="4">
        <f t="shared" si="97"/>
        <v>0</v>
      </c>
      <c r="S884" s="3">
        <f t="shared" si="93"/>
        <v>0</v>
      </c>
      <c r="T884" s="4">
        <f t="shared" si="94"/>
        <v>0</v>
      </c>
      <c r="U884" s="3">
        <f t="shared" si="95"/>
        <v>0</v>
      </c>
      <c r="V884" s="5">
        <f t="shared" si="96"/>
        <v>0</v>
      </c>
    </row>
    <row r="885" spans="1:22" x14ac:dyDescent="0.3">
      <c r="A885">
        <v>1121855</v>
      </c>
      <c r="B885" s="1">
        <v>42970</v>
      </c>
      <c r="C885" s="1">
        <v>42970</v>
      </c>
      <c r="D885" s="6" t="s">
        <v>28</v>
      </c>
      <c r="E885" s="6" t="s">
        <v>28</v>
      </c>
      <c r="F885" s="7" t="s">
        <v>22</v>
      </c>
      <c r="G885" s="7" t="s">
        <v>27</v>
      </c>
      <c r="H885" s="7">
        <v>63</v>
      </c>
      <c r="I885" s="7">
        <v>67</v>
      </c>
      <c r="J885" s="7">
        <v>65</v>
      </c>
      <c r="K885" s="7">
        <v>24893</v>
      </c>
      <c r="L885" s="7">
        <v>2</v>
      </c>
      <c r="M885" s="7">
        <v>3.75</v>
      </c>
      <c r="N885" s="7">
        <v>1</v>
      </c>
      <c r="O885" s="7">
        <v>0</v>
      </c>
      <c r="P885" s="2">
        <f t="shared" si="91"/>
        <v>8.0343871771180655E-3</v>
      </c>
      <c r="Q885" s="3">
        <f t="shared" si="92"/>
        <v>1.875</v>
      </c>
      <c r="R885" s="4">
        <f t="shared" si="97"/>
        <v>0</v>
      </c>
      <c r="S885" s="3">
        <f t="shared" si="93"/>
        <v>0</v>
      </c>
      <c r="T885" s="4">
        <f t="shared" si="94"/>
        <v>0</v>
      </c>
      <c r="U885" s="3">
        <f t="shared" si="95"/>
        <v>0.15064475957096374</v>
      </c>
      <c r="V885" s="5">
        <f t="shared" si="96"/>
        <v>-1</v>
      </c>
    </row>
    <row r="886" spans="1:22" x14ac:dyDescent="0.3">
      <c r="A886">
        <v>1121856</v>
      </c>
      <c r="B886" s="1">
        <v>42970</v>
      </c>
      <c r="C886" s="1">
        <v>42970</v>
      </c>
      <c r="D886" s="6" t="s">
        <v>28</v>
      </c>
      <c r="E886" s="6" t="s">
        <v>28</v>
      </c>
      <c r="F886" s="8" t="s">
        <v>22</v>
      </c>
      <c r="G886" s="8" t="s">
        <v>27</v>
      </c>
      <c r="H886" s="8">
        <v>63</v>
      </c>
      <c r="I886" s="8">
        <v>64</v>
      </c>
      <c r="J886" s="8">
        <v>64</v>
      </c>
      <c r="K886" s="8">
        <v>1296189</v>
      </c>
      <c r="L886" s="8">
        <v>212</v>
      </c>
      <c r="M886" s="8">
        <v>343.25999439999998</v>
      </c>
      <c r="N886" s="8">
        <v>14</v>
      </c>
      <c r="O886" s="8">
        <v>4</v>
      </c>
      <c r="P886" s="2">
        <f t="shared" si="91"/>
        <v>1.6355639493931824E-2</v>
      </c>
      <c r="Q886" s="3">
        <f t="shared" si="92"/>
        <v>1.619150916981132</v>
      </c>
      <c r="R886" s="4">
        <f t="shared" si="97"/>
        <v>1.8867924528301886E-2</v>
      </c>
      <c r="S886" s="3">
        <f t="shared" si="93"/>
        <v>85.814998599999996</v>
      </c>
      <c r="T886" s="4">
        <f t="shared" si="94"/>
        <v>0.2857142857142857</v>
      </c>
      <c r="U886" s="3">
        <f t="shared" si="95"/>
        <v>0.26482248684412535</v>
      </c>
      <c r="V886" s="5">
        <f t="shared" si="96"/>
        <v>-0.41735126940851569</v>
      </c>
    </row>
    <row r="887" spans="1:22" x14ac:dyDescent="0.3">
      <c r="A887">
        <v>1121857</v>
      </c>
      <c r="B887" s="1">
        <v>42970</v>
      </c>
      <c r="C887" s="1">
        <v>42970</v>
      </c>
      <c r="D887" s="6" t="s">
        <v>28</v>
      </c>
      <c r="E887" s="6" t="s">
        <v>28</v>
      </c>
      <c r="F887" s="7" t="s">
        <v>22</v>
      </c>
      <c r="G887" s="7" t="s">
        <v>27</v>
      </c>
      <c r="H887" s="7">
        <v>63</v>
      </c>
      <c r="I887" s="7">
        <v>65</v>
      </c>
      <c r="J887" s="7">
        <v>65</v>
      </c>
      <c r="K887" s="7">
        <v>91607</v>
      </c>
      <c r="L887" s="7">
        <v>12</v>
      </c>
      <c r="M887" s="7">
        <v>19.189999700000001</v>
      </c>
      <c r="N887" s="7">
        <v>2</v>
      </c>
      <c r="O887" s="7">
        <v>1</v>
      </c>
      <c r="P887" s="2">
        <f t="shared" si="91"/>
        <v>1.3099435632648161E-2</v>
      </c>
      <c r="Q887" s="3">
        <f t="shared" si="92"/>
        <v>1.5991666416666668</v>
      </c>
      <c r="R887" s="4">
        <f t="shared" si="97"/>
        <v>8.3333333333333329E-2</v>
      </c>
      <c r="S887" s="3">
        <f t="shared" si="93"/>
        <v>19.189999700000001</v>
      </c>
      <c r="T887" s="4">
        <f t="shared" si="94"/>
        <v>0.5</v>
      </c>
      <c r="U887" s="3">
        <f t="shared" si="95"/>
        <v>0.20948180488390628</v>
      </c>
      <c r="V887" s="5">
        <f t="shared" si="96"/>
        <v>1.6055237509982867</v>
      </c>
    </row>
    <row r="888" spans="1:22" x14ac:dyDescent="0.3">
      <c r="A888">
        <v>1121859</v>
      </c>
      <c r="B888" s="1">
        <v>42970</v>
      </c>
      <c r="C888" s="1">
        <v>42970</v>
      </c>
      <c r="D888" s="6" t="s">
        <v>28</v>
      </c>
      <c r="E888" s="6" t="s">
        <v>28</v>
      </c>
      <c r="F888" s="8" t="s">
        <v>22</v>
      </c>
      <c r="G888" s="8" t="s">
        <v>27</v>
      </c>
      <c r="H888" s="8">
        <v>64</v>
      </c>
      <c r="I888" s="8">
        <v>67</v>
      </c>
      <c r="J888" s="8">
        <v>67</v>
      </c>
      <c r="K888" s="8">
        <v>238036</v>
      </c>
      <c r="L888" s="8">
        <v>38</v>
      </c>
      <c r="M888" s="8">
        <v>61.029997710000004</v>
      </c>
      <c r="N888" s="8">
        <v>6</v>
      </c>
      <c r="O888" s="8">
        <v>3</v>
      </c>
      <c r="P888" s="2">
        <f t="shared" si="91"/>
        <v>1.5963971836192845E-2</v>
      </c>
      <c r="Q888" s="3">
        <f t="shared" si="92"/>
        <v>1.6060525713157896</v>
      </c>
      <c r="R888" s="4">
        <f t="shared" si="97"/>
        <v>7.8947368421052627E-2</v>
      </c>
      <c r="S888" s="3">
        <f t="shared" si="93"/>
        <v>20.343332570000001</v>
      </c>
      <c r="T888" s="4">
        <f t="shared" si="94"/>
        <v>0.5</v>
      </c>
      <c r="U888" s="3">
        <f t="shared" si="95"/>
        <v>0.25638978015930364</v>
      </c>
      <c r="V888" s="5">
        <f t="shared" si="96"/>
        <v>1.4578077278122183</v>
      </c>
    </row>
    <row r="889" spans="1:22" x14ac:dyDescent="0.3">
      <c r="A889">
        <v>1121860</v>
      </c>
      <c r="B889" s="1">
        <v>42967</v>
      </c>
      <c r="C889" s="1">
        <v>42967</v>
      </c>
      <c r="D889" s="6" t="s">
        <v>28</v>
      </c>
      <c r="E889" s="6" t="s">
        <v>28</v>
      </c>
      <c r="F889" s="7" t="s">
        <v>22</v>
      </c>
      <c r="G889" s="7" t="s">
        <v>27</v>
      </c>
      <c r="H889" s="7">
        <v>64</v>
      </c>
      <c r="I889" s="7">
        <v>67</v>
      </c>
      <c r="J889" s="7">
        <v>68</v>
      </c>
      <c r="K889" s="7">
        <v>254344</v>
      </c>
      <c r="L889" s="7">
        <v>35</v>
      </c>
      <c r="M889" s="7">
        <v>56.169999959999998</v>
      </c>
      <c r="N889" s="7">
        <v>2</v>
      </c>
      <c r="O889" s="7">
        <v>1</v>
      </c>
      <c r="P889" s="2">
        <f t="shared" si="91"/>
        <v>1.3760890762117449E-2</v>
      </c>
      <c r="Q889" s="3">
        <f t="shared" si="92"/>
        <v>1.6048571417142856</v>
      </c>
      <c r="R889" s="4">
        <f t="shared" si="97"/>
        <v>2.8571428571428571E-2</v>
      </c>
      <c r="S889" s="3">
        <f t="shared" si="93"/>
        <v>56.169999959999998</v>
      </c>
      <c r="T889" s="4">
        <f t="shared" si="94"/>
        <v>0.5</v>
      </c>
      <c r="U889" s="3">
        <f t="shared" si="95"/>
        <v>0.22084263815934324</v>
      </c>
      <c r="V889" s="5">
        <f t="shared" si="96"/>
        <v>-0.10984511241577004</v>
      </c>
    </row>
    <row r="890" spans="1:22" x14ac:dyDescent="0.3">
      <c r="A890">
        <v>1121861</v>
      </c>
      <c r="B890" s="1">
        <v>42967</v>
      </c>
      <c r="C890" s="1">
        <v>42967</v>
      </c>
      <c r="D890" s="6" t="s">
        <v>28</v>
      </c>
      <c r="E890" s="6" t="s">
        <v>28</v>
      </c>
      <c r="F890" s="8" t="s">
        <v>22</v>
      </c>
      <c r="G890" s="8" t="s">
        <v>27</v>
      </c>
      <c r="H890" s="8">
        <v>64</v>
      </c>
      <c r="I890" s="8">
        <v>66</v>
      </c>
      <c r="J890" s="8">
        <v>69</v>
      </c>
      <c r="K890" s="8">
        <v>157705</v>
      </c>
      <c r="L890" s="8">
        <v>23</v>
      </c>
      <c r="M890" s="8">
        <v>39.230000259999997</v>
      </c>
      <c r="N890" s="8">
        <v>2</v>
      </c>
      <c r="O890" s="8">
        <v>0</v>
      </c>
      <c r="P890" s="2">
        <f t="shared" si="91"/>
        <v>1.458419200405821E-2</v>
      </c>
      <c r="Q890" s="3">
        <f t="shared" si="92"/>
        <v>1.7056521852173911</v>
      </c>
      <c r="R890" s="4">
        <f t="shared" si="97"/>
        <v>0</v>
      </c>
      <c r="S890" s="3">
        <f t="shared" si="93"/>
        <v>0</v>
      </c>
      <c r="T890" s="4">
        <f t="shared" si="94"/>
        <v>0</v>
      </c>
      <c r="U890" s="3">
        <f t="shared" si="95"/>
        <v>0.2487555896135189</v>
      </c>
      <c r="V890" s="5">
        <f t="shared" si="96"/>
        <v>-1</v>
      </c>
    </row>
    <row r="891" spans="1:22" x14ac:dyDescent="0.3">
      <c r="A891">
        <v>1121862</v>
      </c>
      <c r="B891" s="1">
        <v>42964</v>
      </c>
      <c r="C891" s="1">
        <v>42964</v>
      </c>
      <c r="D891" s="6" t="s">
        <v>28</v>
      </c>
      <c r="E891" s="6" t="s">
        <v>28</v>
      </c>
      <c r="F891" s="7" t="s">
        <v>22</v>
      </c>
      <c r="G891" s="7" t="s">
        <v>27</v>
      </c>
      <c r="H891" s="7">
        <v>64</v>
      </c>
      <c r="I891" s="7">
        <v>67</v>
      </c>
      <c r="J891" s="7">
        <v>69</v>
      </c>
      <c r="K891" s="7">
        <v>411571</v>
      </c>
      <c r="L891" s="7">
        <v>60</v>
      </c>
      <c r="M891" s="7">
        <v>99.179998400000002</v>
      </c>
      <c r="N891" s="7">
        <v>6</v>
      </c>
      <c r="O891" s="7">
        <v>1</v>
      </c>
      <c r="P891" s="2">
        <f t="shared" si="91"/>
        <v>1.457828661397426E-2</v>
      </c>
      <c r="Q891" s="3">
        <f t="shared" si="92"/>
        <v>1.6529999733333334</v>
      </c>
      <c r="R891" s="4">
        <f t="shared" si="97"/>
        <v>1.6666666666666666E-2</v>
      </c>
      <c r="S891" s="3">
        <f t="shared" si="93"/>
        <v>99.179998400000002</v>
      </c>
      <c r="T891" s="4">
        <f t="shared" si="94"/>
        <v>0.16666666666666666</v>
      </c>
      <c r="U891" s="3">
        <f t="shared" si="95"/>
        <v>0.24097907384145142</v>
      </c>
      <c r="V891" s="5">
        <f t="shared" si="96"/>
        <v>-0.49586609390386926</v>
      </c>
    </row>
    <row r="892" spans="1:22" x14ac:dyDescent="0.3">
      <c r="A892">
        <v>1121863</v>
      </c>
      <c r="B892" s="1">
        <v>42964</v>
      </c>
      <c r="C892" s="1">
        <v>42964</v>
      </c>
      <c r="D892" s="6" t="s">
        <v>28</v>
      </c>
      <c r="E892" s="6" t="s">
        <v>28</v>
      </c>
      <c r="F892" s="8" t="s">
        <v>22</v>
      </c>
      <c r="G892" s="8" t="s">
        <v>27</v>
      </c>
      <c r="H892" s="8">
        <v>64</v>
      </c>
      <c r="I892" s="8">
        <v>69</v>
      </c>
      <c r="J892" s="8">
        <v>70</v>
      </c>
      <c r="K892" s="8">
        <v>94136</v>
      </c>
      <c r="L892" s="8">
        <v>11</v>
      </c>
      <c r="M892" s="8">
        <v>16.179999710000001</v>
      </c>
      <c r="N892" s="8">
        <v>1</v>
      </c>
      <c r="O892" s="8">
        <v>0</v>
      </c>
      <c r="P892" s="2">
        <f t="shared" si="91"/>
        <v>1.1685221381830542E-2</v>
      </c>
      <c r="Q892" s="3">
        <f t="shared" si="92"/>
        <v>1.4709090645454546</v>
      </c>
      <c r="R892" s="4">
        <f t="shared" si="97"/>
        <v>0</v>
      </c>
      <c r="S892" s="3">
        <f t="shared" si="93"/>
        <v>0</v>
      </c>
      <c r="T892" s="4">
        <f t="shared" si="94"/>
        <v>0</v>
      </c>
      <c r="U892" s="3">
        <f t="shared" si="95"/>
        <v>0.17187898051754907</v>
      </c>
      <c r="V892" s="5">
        <f t="shared" si="96"/>
        <v>-1</v>
      </c>
    </row>
    <row r="893" spans="1:22" x14ac:dyDescent="0.3">
      <c r="A893">
        <v>1121867</v>
      </c>
      <c r="B893" s="1">
        <v>42964</v>
      </c>
      <c r="C893" s="1">
        <v>42964</v>
      </c>
      <c r="D893" s="6" t="s">
        <v>28</v>
      </c>
      <c r="E893" s="6" t="s">
        <v>28</v>
      </c>
      <c r="F893" s="7" t="s">
        <v>22</v>
      </c>
      <c r="G893" s="7" t="s">
        <v>27</v>
      </c>
      <c r="H893" s="7">
        <v>65</v>
      </c>
      <c r="I893" s="7">
        <v>69</v>
      </c>
      <c r="J893" s="7">
        <v>71</v>
      </c>
      <c r="K893" s="7">
        <v>82640</v>
      </c>
      <c r="L893" s="7">
        <v>16</v>
      </c>
      <c r="M893" s="7">
        <v>23.970000389999999</v>
      </c>
      <c r="N893" s="7">
        <v>1</v>
      </c>
      <c r="O893" s="7">
        <v>1</v>
      </c>
      <c r="P893" s="2">
        <f t="shared" si="91"/>
        <v>1.9361084220716362E-2</v>
      </c>
      <c r="Q893" s="3">
        <f t="shared" si="92"/>
        <v>1.4981250243749999</v>
      </c>
      <c r="R893" s="4">
        <f t="shared" si="97"/>
        <v>6.25E-2</v>
      </c>
      <c r="S893" s="3">
        <f t="shared" si="93"/>
        <v>23.970000389999999</v>
      </c>
      <c r="T893" s="4">
        <f t="shared" si="94"/>
        <v>1</v>
      </c>
      <c r="U893" s="3">
        <f t="shared" si="95"/>
        <v>0.29005324770087121</v>
      </c>
      <c r="V893" s="5">
        <f t="shared" si="96"/>
        <v>1.0859407253434759</v>
      </c>
    </row>
    <row r="894" spans="1:22" x14ac:dyDescent="0.3">
      <c r="A894">
        <v>1121869</v>
      </c>
      <c r="B894" s="1">
        <v>42965</v>
      </c>
      <c r="C894" s="1">
        <v>42965</v>
      </c>
      <c r="D894" s="6" t="s">
        <v>28</v>
      </c>
      <c r="E894" s="6" t="s">
        <v>28</v>
      </c>
      <c r="F894" s="8" t="s">
        <v>22</v>
      </c>
      <c r="G894" s="8" t="s">
        <v>27</v>
      </c>
      <c r="H894" s="8">
        <v>65</v>
      </c>
      <c r="I894" s="8">
        <v>69</v>
      </c>
      <c r="J894" s="8">
        <v>68</v>
      </c>
      <c r="K894" s="8">
        <v>17870</v>
      </c>
      <c r="L894" s="8">
        <v>2</v>
      </c>
      <c r="M894" s="8">
        <v>2.6200000050000001</v>
      </c>
      <c r="N894" s="8">
        <v>1</v>
      </c>
      <c r="O894" s="8">
        <v>1</v>
      </c>
      <c r="P894" s="2">
        <f t="shared" si="91"/>
        <v>1.119194180190263E-2</v>
      </c>
      <c r="Q894" s="3">
        <f t="shared" si="92"/>
        <v>1.3100000025</v>
      </c>
      <c r="R894" s="4">
        <f t="shared" si="97"/>
        <v>0.5</v>
      </c>
      <c r="S894" s="3">
        <f t="shared" si="93"/>
        <v>2.6200000050000001</v>
      </c>
      <c r="T894" s="4">
        <f t="shared" si="94"/>
        <v>1</v>
      </c>
      <c r="U894" s="3">
        <f t="shared" si="95"/>
        <v>0.146614437884723</v>
      </c>
      <c r="V894" s="5">
        <f t="shared" si="96"/>
        <v>18.083969429229064</v>
      </c>
    </row>
    <row r="895" spans="1:22" x14ac:dyDescent="0.3">
      <c r="A895">
        <v>1121871</v>
      </c>
      <c r="B895" s="1">
        <v>42965</v>
      </c>
      <c r="C895" s="1">
        <v>42965</v>
      </c>
      <c r="D895" s="6" t="s">
        <v>28</v>
      </c>
      <c r="E895" s="6" t="s">
        <v>28</v>
      </c>
      <c r="F895" s="7" t="s">
        <v>22</v>
      </c>
      <c r="G895" s="7" t="s">
        <v>27</v>
      </c>
      <c r="H895" s="7">
        <v>2</v>
      </c>
      <c r="I895" s="7">
        <v>8</v>
      </c>
      <c r="J895" s="7">
        <v>7</v>
      </c>
      <c r="K895" s="7">
        <v>19178</v>
      </c>
      <c r="L895" s="7">
        <v>2</v>
      </c>
      <c r="M895" s="7">
        <v>2.7799999710000001</v>
      </c>
      <c r="N895" s="7">
        <v>1</v>
      </c>
      <c r="O895" s="7">
        <v>1</v>
      </c>
      <c r="P895" s="2">
        <f t="shared" si="91"/>
        <v>1.0428616122640526E-2</v>
      </c>
      <c r="Q895" s="3">
        <f t="shared" si="92"/>
        <v>1.3899999855</v>
      </c>
      <c r="R895" s="4">
        <f t="shared" si="97"/>
        <v>0.5</v>
      </c>
      <c r="S895" s="3">
        <f t="shared" si="93"/>
        <v>2.7799999710000001</v>
      </c>
      <c r="T895" s="4">
        <f t="shared" si="94"/>
        <v>1</v>
      </c>
      <c r="U895" s="3">
        <f t="shared" si="95"/>
        <v>0.14495776259255397</v>
      </c>
      <c r="V895" s="5">
        <f t="shared" si="96"/>
        <v>16.985611698411056</v>
      </c>
    </row>
    <row r="896" spans="1:22" x14ac:dyDescent="0.3">
      <c r="A896">
        <v>1121873</v>
      </c>
      <c r="B896" s="1">
        <v>42965</v>
      </c>
      <c r="C896" s="1">
        <v>42965</v>
      </c>
      <c r="D896" s="6" t="s">
        <v>28</v>
      </c>
      <c r="E896" s="6" t="s">
        <v>28</v>
      </c>
      <c r="F896" s="8" t="s">
        <v>22</v>
      </c>
      <c r="G896" s="8" t="s">
        <v>27</v>
      </c>
      <c r="H896" s="8">
        <v>2</v>
      </c>
      <c r="I896" s="8">
        <v>6</v>
      </c>
      <c r="J896" s="8">
        <v>7</v>
      </c>
      <c r="K896" s="8">
        <v>5264</v>
      </c>
      <c r="L896" s="8">
        <v>0</v>
      </c>
      <c r="M896" s="8">
        <v>0</v>
      </c>
      <c r="N896" s="8">
        <v>1</v>
      </c>
      <c r="O896" s="8">
        <v>0</v>
      </c>
      <c r="P896" s="2">
        <f t="shared" si="91"/>
        <v>0</v>
      </c>
      <c r="Q896" s="3">
        <f t="shared" si="92"/>
        <v>0</v>
      </c>
      <c r="R896" s="4">
        <f t="shared" si="97"/>
        <v>0</v>
      </c>
      <c r="S896" s="3">
        <f t="shared" si="93"/>
        <v>0</v>
      </c>
      <c r="T896" s="4">
        <f t="shared" si="94"/>
        <v>0</v>
      </c>
      <c r="U896" s="3">
        <f t="shared" si="95"/>
        <v>0</v>
      </c>
      <c r="V896" s="5">
        <f t="shared" si="96"/>
        <v>0</v>
      </c>
    </row>
    <row r="897" spans="1:22" x14ac:dyDescent="0.3">
      <c r="A897">
        <v>1121874</v>
      </c>
      <c r="B897" s="1">
        <v>42965</v>
      </c>
      <c r="C897" s="1">
        <v>42965</v>
      </c>
      <c r="D897" s="6" t="s">
        <v>28</v>
      </c>
      <c r="E897" s="6" t="s">
        <v>28</v>
      </c>
      <c r="F897" s="7" t="s">
        <v>22</v>
      </c>
      <c r="G897" s="7" t="s">
        <v>27</v>
      </c>
      <c r="H897" s="7">
        <v>2</v>
      </c>
      <c r="I897" s="7">
        <v>8</v>
      </c>
      <c r="J897" s="7">
        <v>4</v>
      </c>
      <c r="K897" s="7">
        <v>145548</v>
      </c>
      <c r="L897" s="7">
        <v>28</v>
      </c>
      <c r="M897" s="7">
        <v>42.370000359999999</v>
      </c>
      <c r="N897" s="7">
        <v>2</v>
      </c>
      <c r="O897" s="7">
        <v>1</v>
      </c>
      <c r="P897" s="2">
        <f t="shared" si="91"/>
        <v>1.9237639816417951E-2</v>
      </c>
      <c r="Q897" s="3">
        <f t="shared" si="92"/>
        <v>1.5132142985714285</v>
      </c>
      <c r="R897" s="4">
        <f t="shared" si="97"/>
        <v>3.5714285714285712E-2</v>
      </c>
      <c r="S897" s="3">
        <f t="shared" si="93"/>
        <v>42.370000359999999</v>
      </c>
      <c r="T897" s="4">
        <f t="shared" si="94"/>
        <v>0.5</v>
      </c>
      <c r="U897" s="3">
        <f t="shared" si="95"/>
        <v>0.29110671640970676</v>
      </c>
      <c r="V897" s="5">
        <f t="shared" si="96"/>
        <v>0.18008023543004759</v>
      </c>
    </row>
    <row r="898" spans="1:22" x14ac:dyDescent="0.3">
      <c r="A898">
        <v>1121876</v>
      </c>
      <c r="B898" s="1">
        <v>42965</v>
      </c>
      <c r="C898" s="1">
        <v>42965</v>
      </c>
      <c r="D898" s="6" t="s">
        <v>28</v>
      </c>
      <c r="E898" s="6" t="s">
        <v>28</v>
      </c>
      <c r="F898" s="8" t="s">
        <v>22</v>
      </c>
      <c r="G898" s="8" t="s">
        <v>27</v>
      </c>
      <c r="H898" s="8">
        <v>2</v>
      </c>
      <c r="I898" s="8">
        <v>6</v>
      </c>
      <c r="J898" s="8">
        <v>8</v>
      </c>
      <c r="K898" s="8">
        <v>82455</v>
      </c>
      <c r="L898" s="8">
        <v>15</v>
      </c>
      <c r="M898" s="8">
        <v>22.049999710000002</v>
      </c>
      <c r="N898" s="8">
        <v>1</v>
      </c>
      <c r="O898" s="8">
        <v>0</v>
      </c>
      <c r="P898" s="2">
        <f t="shared" ref="P898:P961" si="98">IF(K898&gt;0, (L898/K898)*100, 0)</f>
        <v>1.8191740949608879E-2</v>
      </c>
      <c r="Q898" s="3">
        <f t="shared" ref="Q898:Q961" si="99">IF(L898&gt;0, M898/L898, 0)</f>
        <v>1.4699999806666668</v>
      </c>
      <c r="R898" s="4">
        <f t="shared" si="97"/>
        <v>0</v>
      </c>
      <c r="S898" s="3">
        <f t="shared" ref="S898:S961" si="100">IF(O898&gt;0, M898/O898, 0)</f>
        <v>0</v>
      </c>
      <c r="T898" s="4">
        <f t="shared" ref="T898:T961" si="101">IF(N898&gt;0, O898/N898, 0)</f>
        <v>0</v>
      </c>
      <c r="U898" s="3">
        <f t="shared" ref="U898:U961" si="102">IF(K898&gt;0, (M898/K898)*1000, 0)</f>
        <v>0.26741858844218064</v>
      </c>
      <c r="V898" s="5">
        <f t="shared" ref="V898:V961" si="103">IF(M898&gt;0, ((O898*50)-M898)/M898, 0)</f>
        <v>-1</v>
      </c>
    </row>
    <row r="899" spans="1:22" x14ac:dyDescent="0.3">
      <c r="A899">
        <v>1121877</v>
      </c>
      <c r="B899" s="1">
        <v>42964</v>
      </c>
      <c r="C899" s="1">
        <v>42964</v>
      </c>
      <c r="D899" s="6" t="s">
        <v>28</v>
      </c>
      <c r="E899" s="6" t="s">
        <v>28</v>
      </c>
      <c r="F899" s="7" t="s">
        <v>22</v>
      </c>
      <c r="G899" s="7" t="s">
        <v>27</v>
      </c>
      <c r="H899" s="7">
        <v>7</v>
      </c>
      <c r="I899" s="7">
        <v>10</v>
      </c>
      <c r="J899" s="7">
        <v>9</v>
      </c>
      <c r="K899" s="7">
        <v>44189</v>
      </c>
      <c r="L899" s="7">
        <v>7</v>
      </c>
      <c r="M899" s="7">
        <v>10.319999810000001</v>
      </c>
      <c r="N899" s="7">
        <v>2</v>
      </c>
      <c r="O899" s="7">
        <v>0</v>
      </c>
      <c r="P899" s="2">
        <f t="shared" si="98"/>
        <v>1.5841046414265994E-2</v>
      </c>
      <c r="Q899" s="3">
        <f t="shared" si="99"/>
        <v>1.4742856871428571</v>
      </c>
      <c r="R899" s="4">
        <f t="shared" ref="R899:R962" si="104">IF(L899&gt;0, O899/L899, 0)</f>
        <v>0</v>
      </c>
      <c r="S899" s="3">
        <f t="shared" si="100"/>
        <v>0</v>
      </c>
      <c r="T899" s="4">
        <f t="shared" si="101"/>
        <v>0</v>
      </c>
      <c r="U899" s="3">
        <f t="shared" si="102"/>
        <v>0.23354227997918034</v>
      </c>
      <c r="V899" s="5">
        <f t="shared" si="103"/>
        <v>-1</v>
      </c>
    </row>
    <row r="900" spans="1:22" x14ac:dyDescent="0.3">
      <c r="A900">
        <v>1121878</v>
      </c>
      <c r="B900" s="1">
        <v>42964</v>
      </c>
      <c r="C900" s="1">
        <v>42964</v>
      </c>
      <c r="D900" s="6" t="s">
        <v>28</v>
      </c>
      <c r="E900" s="6" t="s">
        <v>28</v>
      </c>
      <c r="F900" s="8" t="s">
        <v>22</v>
      </c>
      <c r="G900" s="8" t="s">
        <v>27</v>
      </c>
      <c r="H900" s="8">
        <v>7</v>
      </c>
      <c r="I900" s="8">
        <v>8</v>
      </c>
      <c r="J900" s="8">
        <v>8</v>
      </c>
      <c r="K900" s="8">
        <v>45199</v>
      </c>
      <c r="L900" s="8">
        <v>7</v>
      </c>
      <c r="M900" s="8">
        <v>9.8099999429999993</v>
      </c>
      <c r="N900" s="8">
        <v>1</v>
      </c>
      <c r="O900" s="8">
        <v>0</v>
      </c>
      <c r="P900" s="2">
        <f t="shared" si="98"/>
        <v>1.5487068297971194E-2</v>
      </c>
      <c r="Q900" s="3">
        <f t="shared" si="99"/>
        <v>1.4014285632857142</v>
      </c>
      <c r="R900" s="4">
        <f t="shared" si="104"/>
        <v>0</v>
      </c>
      <c r="S900" s="3">
        <f t="shared" si="100"/>
        <v>0</v>
      </c>
      <c r="T900" s="4">
        <f t="shared" si="101"/>
        <v>0</v>
      </c>
      <c r="U900" s="3">
        <f t="shared" si="102"/>
        <v>0.21704019874333502</v>
      </c>
      <c r="V900" s="5">
        <f t="shared" si="103"/>
        <v>-1</v>
      </c>
    </row>
    <row r="901" spans="1:22" x14ac:dyDescent="0.3">
      <c r="A901">
        <v>1121881</v>
      </c>
      <c r="B901" s="1">
        <v>42977</v>
      </c>
      <c r="C901" s="1">
        <v>42977</v>
      </c>
      <c r="D901" s="6" t="s">
        <v>28</v>
      </c>
      <c r="E901" s="6" t="s">
        <v>28</v>
      </c>
      <c r="F901" s="7" t="s">
        <v>22</v>
      </c>
      <c r="G901" s="7" t="s">
        <v>27</v>
      </c>
      <c r="H901" s="7">
        <v>7</v>
      </c>
      <c r="I901" s="7">
        <v>8</v>
      </c>
      <c r="J901" s="7">
        <v>13</v>
      </c>
      <c r="K901" s="7">
        <v>221843</v>
      </c>
      <c r="L901" s="7">
        <v>43</v>
      </c>
      <c r="M901" s="7">
        <v>63.450000760000002</v>
      </c>
      <c r="N901" s="7">
        <v>5</v>
      </c>
      <c r="O901" s="7">
        <v>0</v>
      </c>
      <c r="P901" s="2">
        <f t="shared" si="98"/>
        <v>1.9383077221278112E-2</v>
      </c>
      <c r="Q901" s="3">
        <f t="shared" si="99"/>
        <v>1.4755814130232559</v>
      </c>
      <c r="R901" s="4">
        <f t="shared" si="104"/>
        <v>0</v>
      </c>
      <c r="S901" s="3">
        <f t="shared" si="100"/>
        <v>0</v>
      </c>
      <c r="T901" s="4">
        <f t="shared" si="101"/>
        <v>0</v>
      </c>
      <c r="U901" s="3">
        <f t="shared" si="102"/>
        <v>0.2860130847491244</v>
      </c>
      <c r="V901" s="5">
        <f t="shared" si="103"/>
        <v>-1</v>
      </c>
    </row>
    <row r="902" spans="1:22" x14ac:dyDescent="0.3">
      <c r="A902">
        <v>1121888</v>
      </c>
      <c r="B902" s="1">
        <v>42977</v>
      </c>
      <c r="C902" s="1">
        <v>42977</v>
      </c>
      <c r="D902" s="6" t="s">
        <v>28</v>
      </c>
      <c r="E902" s="6" t="s">
        <v>28</v>
      </c>
      <c r="F902" s="8" t="s">
        <v>22</v>
      </c>
      <c r="G902" s="8" t="s">
        <v>27</v>
      </c>
      <c r="H902" s="8">
        <v>66</v>
      </c>
      <c r="I902" s="8">
        <v>72</v>
      </c>
      <c r="J902" s="8">
        <v>69</v>
      </c>
      <c r="K902" s="8">
        <v>41672</v>
      </c>
      <c r="L902" s="8">
        <v>6</v>
      </c>
      <c r="M902" s="8">
        <v>10.54999995</v>
      </c>
      <c r="N902" s="8">
        <v>2</v>
      </c>
      <c r="O902" s="8">
        <v>1</v>
      </c>
      <c r="P902" s="2">
        <f t="shared" si="98"/>
        <v>1.4398157035899407E-2</v>
      </c>
      <c r="Q902" s="3">
        <f t="shared" si="99"/>
        <v>1.7583333249999999</v>
      </c>
      <c r="R902" s="4">
        <f t="shared" si="104"/>
        <v>0.16666666666666666</v>
      </c>
      <c r="S902" s="3">
        <f t="shared" si="100"/>
        <v>10.54999995</v>
      </c>
      <c r="T902" s="4">
        <f t="shared" si="101"/>
        <v>0.5</v>
      </c>
      <c r="U902" s="3">
        <f t="shared" si="102"/>
        <v>0.25316759334805145</v>
      </c>
      <c r="V902" s="5">
        <f t="shared" si="103"/>
        <v>3.7393365153523055</v>
      </c>
    </row>
    <row r="903" spans="1:22" x14ac:dyDescent="0.3">
      <c r="A903">
        <v>1121889</v>
      </c>
      <c r="B903" s="1">
        <v>42977</v>
      </c>
      <c r="C903" s="1">
        <v>42977</v>
      </c>
      <c r="D903" s="6" t="s">
        <v>28</v>
      </c>
      <c r="E903" s="6" t="s">
        <v>28</v>
      </c>
      <c r="F903" s="7" t="s">
        <v>24</v>
      </c>
      <c r="G903" s="7" t="s">
        <v>27</v>
      </c>
      <c r="H903" s="7">
        <v>10</v>
      </c>
      <c r="I903" s="7">
        <v>15</v>
      </c>
      <c r="J903" s="7">
        <v>13</v>
      </c>
      <c r="K903" s="7">
        <v>127546</v>
      </c>
      <c r="L903" s="7">
        <v>25</v>
      </c>
      <c r="M903" s="7">
        <v>38.940000410000003</v>
      </c>
      <c r="N903" s="7">
        <v>2</v>
      </c>
      <c r="O903" s="7">
        <v>0</v>
      </c>
      <c r="P903" s="2">
        <f t="shared" si="98"/>
        <v>1.9600771486365704E-2</v>
      </c>
      <c r="Q903" s="3">
        <f t="shared" si="99"/>
        <v>1.5576000164000001</v>
      </c>
      <c r="R903" s="4">
        <f t="shared" si="104"/>
        <v>0</v>
      </c>
      <c r="S903" s="3">
        <f t="shared" si="100"/>
        <v>0</v>
      </c>
      <c r="T903" s="4">
        <f t="shared" si="101"/>
        <v>0</v>
      </c>
      <c r="U903" s="3">
        <f t="shared" si="102"/>
        <v>0.30530161988615873</v>
      </c>
      <c r="V903" s="5">
        <f t="shared" si="103"/>
        <v>-1</v>
      </c>
    </row>
    <row r="904" spans="1:22" x14ac:dyDescent="0.3">
      <c r="A904">
        <v>1121890</v>
      </c>
      <c r="B904" s="1">
        <v>42964</v>
      </c>
      <c r="C904" s="1">
        <v>42964</v>
      </c>
      <c r="D904" s="6" t="s">
        <v>28</v>
      </c>
      <c r="E904" s="6" t="s">
        <v>28</v>
      </c>
      <c r="F904" s="8" t="s">
        <v>24</v>
      </c>
      <c r="G904" s="8" t="s">
        <v>27</v>
      </c>
      <c r="H904" s="8">
        <v>10</v>
      </c>
      <c r="I904" s="8">
        <v>16</v>
      </c>
      <c r="J904" s="8">
        <v>15</v>
      </c>
      <c r="K904" s="8">
        <v>127865</v>
      </c>
      <c r="L904" s="8">
        <v>28</v>
      </c>
      <c r="M904" s="8">
        <v>38.029999609999997</v>
      </c>
      <c r="N904" s="8">
        <v>3</v>
      </c>
      <c r="O904" s="8">
        <v>1</v>
      </c>
      <c r="P904" s="2">
        <f t="shared" si="98"/>
        <v>2.1898095647753489E-2</v>
      </c>
      <c r="Q904" s="3">
        <f t="shared" si="99"/>
        <v>1.3582142717857142</v>
      </c>
      <c r="R904" s="4">
        <f t="shared" si="104"/>
        <v>3.5714285714285712E-2</v>
      </c>
      <c r="S904" s="3">
        <f t="shared" si="100"/>
        <v>38.029999609999997</v>
      </c>
      <c r="T904" s="4">
        <f t="shared" si="101"/>
        <v>0.33333333333333331</v>
      </c>
      <c r="U904" s="3">
        <f t="shared" si="102"/>
        <v>0.29742306033707427</v>
      </c>
      <c r="V904" s="5">
        <f t="shared" si="103"/>
        <v>0.314751525447097</v>
      </c>
    </row>
    <row r="905" spans="1:22" x14ac:dyDescent="0.3">
      <c r="A905">
        <v>1121891</v>
      </c>
      <c r="B905" s="1">
        <v>42964</v>
      </c>
      <c r="C905" s="1">
        <v>42964</v>
      </c>
      <c r="D905" s="6" t="s">
        <v>28</v>
      </c>
      <c r="E905" s="6" t="s">
        <v>28</v>
      </c>
      <c r="F905" s="7" t="s">
        <v>24</v>
      </c>
      <c r="G905" s="7" t="s">
        <v>27</v>
      </c>
      <c r="H905" s="7">
        <v>10</v>
      </c>
      <c r="I905" s="7">
        <v>15</v>
      </c>
      <c r="J905" s="7">
        <v>13</v>
      </c>
      <c r="K905" s="7">
        <v>1025327</v>
      </c>
      <c r="L905" s="7">
        <v>229</v>
      </c>
      <c r="M905" s="7">
        <v>314.29999830000003</v>
      </c>
      <c r="N905" s="7">
        <v>16</v>
      </c>
      <c r="O905" s="7">
        <v>2</v>
      </c>
      <c r="P905" s="2">
        <f t="shared" si="98"/>
        <v>2.2334338216003283E-2</v>
      </c>
      <c r="Q905" s="3">
        <f t="shared" si="99"/>
        <v>1.3724890755458516</v>
      </c>
      <c r="R905" s="4">
        <f t="shared" si="104"/>
        <v>8.7336244541484712E-3</v>
      </c>
      <c r="S905" s="3">
        <f t="shared" si="100"/>
        <v>157.14999915000001</v>
      </c>
      <c r="T905" s="4">
        <f t="shared" si="101"/>
        <v>0.125</v>
      </c>
      <c r="U905" s="3">
        <f t="shared" si="102"/>
        <v>0.30653635211010732</v>
      </c>
      <c r="V905" s="5">
        <f t="shared" si="103"/>
        <v>-0.68183264224981066</v>
      </c>
    </row>
    <row r="906" spans="1:22" x14ac:dyDescent="0.3">
      <c r="A906">
        <v>1121894</v>
      </c>
      <c r="B906" s="1">
        <v>42964</v>
      </c>
      <c r="C906" s="1">
        <v>42964</v>
      </c>
      <c r="D906" s="6" t="s">
        <v>28</v>
      </c>
      <c r="E906" s="6" t="s">
        <v>28</v>
      </c>
      <c r="F906" s="8" t="s">
        <v>24</v>
      </c>
      <c r="G906" s="8" t="s">
        <v>27</v>
      </c>
      <c r="H906" s="8">
        <v>10</v>
      </c>
      <c r="I906" s="8">
        <v>14</v>
      </c>
      <c r="J906" s="8">
        <v>14</v>
      </c>
      <c r="K906" s="8">
        <v>561415</v>
      </c>
      <c r="L906" s="8">
        <v>124</v>
      </c>
      <c r="M906" s="8">
        <v>173.76</v>
      </c>
      <c r="N906" s="8">
        <v>3</v>
      </c>
      <c r="O906" s="8">
        <v>0</v>
      </c>
      <c r="P906" s="2">
        <f t="shared" si="98"/>
        <v>2.2087047905738177E-2</v>
      </c>
      <c r="Q906" s="3">
        <f t="shared" si="99"/>
        <v>1.401290322580645</v>
      </c>
      <c r="R906" s="4">
        <f t="shared" si="104"/>
        <v>0</v>
      </c>
      <c r="S906" s="3">
        <f t="shared" si="100"/>
        <v>0</v>
      </c>
      <c r="T906" s="4">
        <f t="shared" si="101"/>
        <v>0</v>
      </c>
      <c r="U906" s="3">
        <f t="shared" si="102"/>
        <v>0.30950366484686015</v>
      </c>
      <c r="V906" s="5">
        <f t="shared" si="103"/>
        <v>-1</v>
      </c>
    </row>
    <row r="907" spans="1:22" x14ac:dyDescent="0.3">
      <c r="A907">
        <v>1121895</v>
      </c>
      <c r="B907" s="1">
        <v>42964</v>
      </c>
      <c r="C907" s="1">
        <v>42964</v>
      </c>
      <c r="D907" s="6" t="s">
        <v>28</v>
      </c>
      <c r="E907" s="6" t="s">
        <v>28</v>
      </c>
      <c r="F907" s="7" t="s">
        <v>24</v>
      </c>
      <c r="G907" s="7" t="s">
        <v>27</v>
      </c>
      <c r="H907" s="7">
        <v>15</v>
      </c>
      <c r="I907" s="7">
        <v>21</v>
      </c>
      <c r="J907" s="7">
        <v>21</v>
      </c>
      <c r="K907" s="7">
        <v>132803</v>
      </c>
      <c r="L907" s="7">
        <v>25</v>
      </c>
      <c r="M907" s="7">
        <v>37.320001240000003</v>
      </c>
      <c r="N907" s="7">
        <v>2</v>
      </c>
      <c r="O907" s="7">
        <v>1</v>
      </c>
      <c r="P907" s="2">
        <f t="shared" si="98"/>
        <v>1.882487594406753E-2</v>
      </c>
      <c r="Q907" s="3">
        <f t="shared" si="99"/>
        <v>1.4928000496000002</v>
      </c>
      <c r="R907" s="4">
        <f t="shared" si="104"/>
        <v>0.04</v>
      </c>
      <c r="S907" s="3">
        <f t="shared" si="100"/>
        <v>37.320001240000003</v>
      </c>
      <c r="T907" s="4">
        <f t="shared" si="101"/>
        <v>0.5</v>
      </c>
      <c r="U907" s="3">
        <f t="shared" si="102"/>
        <v>0.28101775743017859</v>
      </c>
      <c r="V907" s="5">
        <f t="shared" si="103"/>
        <v>0.33976415698532797</v>
      </c>
    </row>
    <row r="908" spans="1:22" x14ac:dyDescent="0.3">
      <c r="A908">
        <v>1121897</v>
      </c>
      <c r="B908" s="1">
        <v>42964</v>
      </c>
      <c r="C908" s="1">
        <v>42964</v>
      </c>
      <c r="D908" s="6" t="s">
        <v>28</v>
      </c>
      <c r="E908" s="6" t="s">
        <v>28</v>
      </c>
      <c r="F908" s="8" t="s">
        <v>24</v>
      </c>
      <c r="G908" s="8" t="s">
        <v>27</v>
      </c>
      <c r="H908" s="8">
        <v>15</v>
      </c>
      <c r="I908" s="8">
        <v>18</v>
      </c>
      <c r="J908" s="8">
        <v>17</v>
      </c>
      <c r="K908" s="8">
        <v>24664</v>
      </c>
      <c r="L908" s="8">
        <v>2</v>
      </c>
      <c r="M908" s="8">
        <v>2.6299999949999999</v>
      </c>
      <c r="N908" s="8">
        <v>1</v>
      </c>
      <c r="O908" s="8">
        <v>1</v>
      </c>
      <c r="P908" s="2">
        <f t="shared" si="98"/>
        <v>8.1089847551086593E-3</v>
      </c>
      <c r="Q908" s="3">
        <f t="shared" si="99"/>
        <v>1.3149999975</v>
      </c>
      <c r="R908" s="4">
        <f t="shared" si="104"/>
        <v>0.5</v>
      </c>
      <c r="S908" s="3">
        <f t="shared" si="100"/>
        <v>2.6299999949999999</v>
      </c>
      <c r="T908" s="4">
        <f t="shared" si="101"/>
        <v>1</v>
      </c>
      <c r="U908" s="3">
        <f t="shared" si="102"/>
        <v>0.10663314932695427</v>
      </c>
      <c r="V908" s="5">
        <f t="shared" si="103"/>
        <v>18.011406880249822</v>
      </c>
    </row>
    <row r="909" spans="1:22" x14ac:dyDescent="0.3">
      <c r="A909">
        <v>1121901</v>
      </c>
      <c r="B909" s="1">
        <v>42964</v>
      </c>
      <c r="C909" s="1">
        <v>42964</v>
      </c>
      <c r="D909" s="6" t="s">
        <v>28</v>
      </c>
      <c r="E909" s="6" t="s">
        <v>28</v>
      </c>
      <c r="F909" s="7" t="s">
        <v>24</v>
      </c>
      <c r="G909" s="7" t="s">
        <v>27</v>
      </c>
      <c r="H909" s="7">
        <v>16</v>
      </c>
      <c r="I909" s="7">
        <v>17</v>
      </c>
      <c r="J909" s="7">
        <v>21</v>
      </c>
      <c r="K909" s="7">
        <v>1020561</v>
      </c>
      <c r="L909" s="7">
        <v>172</v>
      </c>
      <c r="M909" s="7">
        <v>263.81000069999999</v>
      </c>
      <c r="N909" s="7">
        <v>7</v>
      </c>
      <c r="O909" s="7">
        <v>3</v>
      </c>
      <c r="P909" s="2">
        <f t="shared" si="98"/>
        <v>1.6853475686411691E-2</v>
      </c>
      <c r="Q909" s="3">
        <f t="shared" si="99"/>
        <v>1.5337790738372092</v>
      </c>
      <c r="R909" s="4">
        <f t="shared" si="104"/>
        <v>1.7441860465116279E-2</v>
      </c>
      <c r="S909" s="3">
        <f t="shared" si="100"/>
        <v>87.936666899999992</v>
      </c>
      <c r="T909" s="4">
        <f t="shared" si="101"/>
        <v>0.42857142857142855</v>
      </c>
      <c r="U909" s="3">
        <f t="shared" si="102"/>
        <v>0.25849508329242449</v>
      </c>
      <c r="V909" s="5">
        <f t="shared" si="103"/>
        <v>-0.43140897008458251</v>
      </c>
    </row>
    <row r="910" spans="1:22" x14ac:dyDescent="0.3">
      <c r="A910">
        <v>1121902</v>
      </c>
      <c r="B910" s="1">
        <v>42965</v>
      </c>
      <c r="C910" s="1">
        <v>42965</v>
      </c>
      <c r="D910" s="6" t="s">
        <v>28</v>
      </c>
      <c r="E910" s="6" t="s">
        <v>28</v>
      </c>
      <c r="F910" s="8" t="s">
        <v>24</v>
      </c>
      <c r="G910" s="8" t="s">
        <v>27</v>
      </c>
      <c r="H910" s="8">
        <v>16</v>
      </c>
      <c r="I910" s="8">
        <v>17</v>
      </c>
      <c r="J910" s="8">
        <v>22</v>
      </c>
      <c r="K910" s="8">
        <v>682143</v>
      </c>
      <c r="L910" s="8">
        <v>114</v>
      </c>
      <c r="M910" s="8">
        <v>177.1099993</v>
      </c>
      <c r="N910" s="8">
        <v>6</v>
      </c>
      <c r="O910" s="8">
        <v>2</v>
      </c>
      <c r="P910" s="2">
        <f t="shared" si="98"/>
        <v>1.6712038384913426E-2</v>
      </c>
      <c r="Q910" s="3">
        <f t="shared" si="99"/>
        <v>1.5535964850877193</v>
      </c>
      <c r="R910" s="4">
        <f t="shared" si="104"/>
        <v>1.7543859649122806E-2</v>
      </c>
      <c r="S910" s="3">
        <f t="shared" si="100"/>
        <v>88.554999649999999</v>
      </c>
      <c r="T910" s="4">
        <f t="shared" si="101"/>
        <v>0.33333333333333331</v>
      </c>
      <c r="U910" s="3">
        <f t="shared" si="102"/>
        <v>0.25963764093452546</v>
      </c>
      <c r="V910" s="5">
        <f t="shared" si="103"/>
        <v>-0.43537914067396194</v>
      </c>
    </row>
    <row r="911" spans="1:22" x14ac:dyDescent="0.3">
      <c r="A911">
        <v>1121903</v>
      </c>
      <c r="B911" s="1">
        <v>42965</v>
      </c>
      <c r="C911" s="1">
        <v>42965</v>
      </c>
      <c r="D911" s="6" t="s">
        <v>28</v>
      </c>
      <c r="E911" s="6" t="s">
        <v>28</v>
      </c>
      <c r="F911" s="7" t="s">
        <v>24</v>
      </c>
      <c r="G911" s="7" t="s">
        <v>27</v>
      </c>
      <c r="H911" s="7">
        <v>16</v>
      </c>
      <c r="I911" s="7">
        <v>18</v>
      </c>
      <c r="J911" s="7">
        <v>18</v>
      </c>
      <c r="K911" s="7">
        <v>1247717</v>
      </c>
      <c r="L911" s="7">
        <v>222</v>
      </c>
      <c r="M911" s="7">
        <v>343.41999939999999</v>
      </c>
      <c r="N911" s="7">
        <v>11</v>
      </c>
      <c r="O911" s="7">
        <v>4</v>
      </c>
      <c r="P911" s="2">
        <f t="shared" si="98"/>
        <v>1.7792496215087238E-2</v>
      </c>
      <c r="Q911" s="3">
        <f t="shared" si="99"/>
        <v>1.5469369342342343</v>
      </c>
      <c r="R911" s="4">
        <f t="shared" si="104"/>
        <v>1.8018018018018018E-2</v>
      </c>
      <c r="S911" s="3">
        <f t="shared" si="100"/>
        <v>85.854999849999999</v>
      </c>
      <c r="T911" s="4">
        <f t="shared" si="101"/>
        <v>0.36363636363636365</v>
      </c>
      <c r="U911" s="3">
        <f t="shared" si="102"/>
        <v>0.27523869547341268</v>
      </c>
      <c r="V911" s="5">
        <f t="shared" si="103"/>
        <v>-0.41762273499089642</v>
      </c>
    </row>
    <row r="912" spans="1:22" x14ac:dyDescent="0.3">
      <c r="A912">
        <v>1121904</v>
      </c>
      <c r="B912" s="1">
        <v>42966</v>
      </c>
      <c r="C912" s="1">
        <v>42966</v>
      </c>
      <c r="D912" s="6" t="s">
        <v>28</v>
      </c>
      <c r="E912" s="6" t="s">
        <v>28</v>
      </c>
      <c r="F912" s="8" t="s">
        <v>24</v>
      </c>
      <c r="G912" s="8" t="s">
        <v>27</v>
      </c>
      <c r="H912" s="8">
        <v>16</v>
      </c>
      <c r="I912" s="8">
        <v>21</v>
      </c>
      <c r="J912" s="8">
        <v>18</v>
      </c>
      <c r="K912" s="8">
        <v>146406</v>
      </c>
      <c r="L912" s="8">
        <v>23</v>
      </c>
      <c r="M912" s="8">
        <v>33.229999419999999</v>
      </c>
      <c r="N912" s="8">
        <v>1</v>
      </c>
      <c r="O912" s="8">
        <v>1</v>
      </c>
      <c r="P912" s="2">
        <f t="shared" si="98"/>
        <v>1.5709738671912353E-2</v>
      </c>
      <c r="Q912" s="3">
        <f t="shared" si="99"/>
        <v>1.4447825834782608</v>
      </c>
      <c r="R912" s="4">
        <f t="shared" si="104"/>
        <v>4.3478260869565216E-2</v>
      </c>
      <c r="S912" s="3">
        <f t="shared" si="100"/>
        <v>33.229999419999999</v>
      </c>
      <c r="T912" s="4">
        <f t="shared" si="101"/>
        <v>1</v>
      </c>
      <c r="U912" s="3">
        <f t="shared" si="102"/>
        <v>0.22697156824173872</v>
      </c>
      <c r="V912" s="5">
        <f t="shared" si="103"/>
        <v>0.50466448608803505</v>
      </c>
    </row>
    <row r="913" spans="1:22" x14ac:dyDescent="0.3">
      <c r="A913">
        <v>1121905</v>
      </c>
      <c r="B913" s="1">
        <v>42966</v>
      </c>
      <c r="C913" s="1">
        <v>42966</v>
      </c>
      <c r="D913" s="6" t="s">
        <v>28</v>
      </c>
      <c r="E913" s="6" t="s">
        <v>28</v>
      </c>
      <c r="F913" s="7" t="s">
        <v>24</v>
      </c>
      <c r="G913" s="7" t="s">
        <v>27</v>
      </c>
      <c r="H913" s="7">
        <v>16</v>
      </c>
      <c r="I913" s="7">
        <v>17</v>
      </c>
      <c r="J913" s="7">
        <v>21</v>
      </c>
      <c r="K913" s="7">
        <v>905699</v>
      </c>
      <c r="L913" s="7">
        <v>161</v>
      </c>
      <c r="M913" s="7">
        <v>234.65999819999999</v>
      </c>
      <c r="N913" s="7">
        <v>4</v>
      </c>
      <c r="O913" s="7">
        <v>1</v>
      </c>
      <c r="P913" s="2">
        <f t="shared" si="98"/>
        <v>1.7776325247129566E-2</v>
      </c>
      <c r="Q913" s="3">
        <f t="shared" si="99"/>
        <v>1.4575155167701863</v>
      </c>
      <c r="R913" s="4">
        <f t="shared" si="104"/>
        <v>6.2111801242236021E-3</v>
      </c>
      <c r="S913" s="3">
        <f t="shared" si="100"/>
        <v>234.65999819999999</v>
      </c>
      <c r="T913" s="4">
        <f t="shared" si="101"/>
        <v>0.25</v>
      </c>
      <c r="U913" s="3">
        <f t="shared" si="102"/>
        <v>0.25909269878844959</v>
      </c>
      <c r="V913" s="5">
        <f t="shared" si="103"/>
        <v>-0.78692576330208119</v>
      </c>
    </row>
    <row r="914" spans="1:22" x14ac:dyDescent="0.3">
      <c r="A914">
        <v>1121906</v>
      </c>
      <c r="B914" s="1">
        <v>42966</v>
      </c>
      <c r="C914" s="1">
        <v>42966</v>
      </c>
      <c r="D914" s="6" t="s">
        <v>28</v>
      </c>
      <c r="E914" s="6" t="s">
        <v>28</v>
      </c>
      <c r="F914" s="8" t="s">
        <v>24</v>
      </c>
      <c r="G914" s="8" t="s">
        <v>27</v>
      </c>
      <c r="H914" s="8">
        <v>16</v>
      </c>
      <c r="I914" s="8">
        <v>21</v>
      </c>
      <c r="J914" s="8">
        <v>17</v>
      </c>
      <c r="K914" s="8">
        <v>1184580</v>
      </c>
      <c r="L914" s="8">
        <v>194</v>
      </c>
      <c r="M914" s="8">
        <v>297.82999810000001</v>
      </c>
      <c r="N914" s="8">
        <v>14</v>
      </c>
      <c r="O914" s="8">
        <v>3</v>
      </c>
      <c r="P914" s="2">
        <f t="shared" si="98"/>
        <v>1.6377112563102533E-2</v>
      </c>
      <c r="Q914" s="3">
        <f t="shared" si="99"/>
        <v>1.5352061757731958</v>
      </c>
      <c r="R914" s="4">
        <f t="shared" si="104"/>
        <v>1.5463917525773196E-2</v>
      </c>
      <c r="S914" s="3">
        <f t="shared" si="100"/>
        <v>99.276666033333342</v>
      </c>
      <c r="T914" s="4">
        <f t="shared" si="101"/>
        <v>0.21428571428571427</v>
      </c>
      <c r="U914" s="3">
        <f t="shared" si="102"/>
        <v>0.25142244348207804</v>
      </c>
      <c r="V914" s="5">
        <f t="shared" si="103"/>
        <v>-0.49635697895805753</v>
      </c>
    </row>
    <row r="915" spans="1:22" x14ac:dyDescent="0.3">
      <c r="A915">
        <v>1121907</v>
      </c>
      <c r="B915" s="1">
        <v>42967</v>
      </c>
      <c r="C915" s="1">
        <v>42967</v>
      </c>
      <c r="D915" s="6" t="s">
        <v>28</v>
      </c>
      <c r="E915" s="6" t="s">
        <v>28</v>
      </c>
      <c r="F915" s="7" t="s">
        <v>24</v>
      </c>
      <c r="G915" s="7" t="s">
        <v>27</v>
      </c>
      <c r="H915" s="7">
        <v>18</v>
      </c>
      <c r="I915" s="7">
        <v>22</v>
      </c>
      <c r="J915" s="7">
        <v>19</v>
      </c>
      <c r="K915" s="7">
        <v>98057</v>
      </c>
      <c r="L915" s="7">
        <v>20</v>
      </c>
      <c r="M915" s="7">
        <v>31.009999629999999</v>
      </c>
      <c r="N915" s="7">
        <v>1</v>
      </c>
      <c r="O915" s="7">
        <v>1</v>
      </c>
      <c r="P915" s="2">
        <f t="shared" si="98"/>
        <v>2.0396300111159834E-2</v>
      </c>
      <c r="Q915" s="3">
        <f t="shared" si="99"/>
        <v>1.5504999815</v>
      </c>
      <c r="R915" s="4">
        <f t="shared" si="104"/>
        <v>0.05</v>
      </c>
      <c r="S915" s="3">
        <f t="shared" si="100"/>
        <v>31.009999629999999</v>
      </c>
      <c r="T915" s="4">
        <f t="shared" si="101"/>
        <v>1</v>
      </c>
      <c r="U915" s="3">
        <f t="shared" si="102"/>
        <v>0.31624462945021775</v>
      </c>
      <c r="V915" s="5">
        <f t="shared" si="103"/>
        <v>0.61238312146345553</v>
      </c>
    </row>
    <row r="916" spans="1:22" x14ac:dyDescent="0.3">
      <c r="A916">
        <v>1121917</v>
      </c>
      <c r="B916" s="1">
        <v>42967</v>
      </c>
      <c r="C916" s="1">
        <v>42967</v>
      </c>
      <c r="D916" s="6" t="s">
        <v>28</v>
      </c>
      <c r="E916" s="6" t="s">
        <v>28</v>
      </c>
      <c r="F916" s="8" t="s">
        <v>24</v>
      </c>
      <c r="G916" s="8" t="s">
        <v>27</v>
      </c>
      <c r="H916" s="8">
        <v>19</v>
      </c>
      <c r="I916" s="8">
        <v>22</v>
      </c>
      <c r="J916" s="8">
        <v>24</v>
      </c>
      <c r="K916" s="8">
        <v>238735</v>
      </c>
      <c r="L916" s="8">
        <v>56</v>
      </c>
      <c r="M916" s="8">
        <v>84.659998889999997</v>
      </c>
      <c r="N916" s="8">
        <v>4</v>
      </c>
      <c r="O916" s="8">
        <v>1</v>
      </c>
      <c r="P916" s="2">
        <f t="shared" si="98"/>
        <v>2.345697111860431E-2</v>
      </c>
      <c r="Q916" s="3">
        <f t="shared" si="99"/>
        <v>1.5117856944642856</v>
      </c>
      <c r="R916" s="4">
        <f t="shared" si="104"/>
        <v>1.7857142857142856E-2</v>
      </c>
      <c r="S916" s="3">
        <f t="shared" si="100"/>
        <v>84.659998889999997</v>
      </c>
      <c r="T916" s="4">
        <f t="shared" si="101"/>
        <v>0.25</v>
      </c>
      <c r="U916" s="3">
        <f t="shared" si="102"/>
        <v>0.3546191337256791</v>
      </c>
      <c r="V916" s="5">
        <f t="shared" si="103"/>
        <v>-0.40940230739943961</v>
      </c>
    </row>
    <row r="917" spans="1:22" x14ac:dyDescent="0.3">
      <c r="A917">
        <v>1121918</v>
      </c>
      <c r="B917" s="1">
        <v>42967</v>
      </c>
      <c r="C917" s="1">
        <v>42967</v>
      </c>
      <c r="D917" s="6" t="s">
        <v>28</v>
      </c>
      <c r="E917" s="6" t="s">
        <v>28</v>
      </c>
      <c r="F917" s="7" t="s">
        <v>24</v>
      </c>
      <c r="G917" s="7" t="s">
        <v>27</v>
      </c>
      <c r="H917" s="7">
        <v>19</v>
      </c>
      <c r="I917" s="7">
        <v>23</v>
      </c>
      <c r="J917" s="7">
        <v>25</v>
      </c>
      <c r="K917" s="7">
        <v>320657</v>
      </c>
      <c r="L917" s="7">
        <v>77</v>
      </c>
      <c r="M917" s="7">
        <v>115.8800026</v>
      </c>
      <c r="N917" s="7">
        <v>2</v>
      </c>
      <c r="O917" s="7">
        <v>0</v>
      </c>
      <c r="P917" s="2">
        <f t="shared" si="98"/>
        <v>2.401319790305529E-2</v>
      </c>
      <c r="Q917" s="3">
        <f t="shared" si="99"/>
        <v>1.5049350987012986</v>
      </c>
      <c r="R917" s="4">
        <f t="shared" si="104"/>
        <v>0</v>
      </c>
      <c r="S917" s="3">
        <f t="shared" si="100"/>
        <v>0</v>
      </c>
      <c r="T917" s="4">
        <f t="shared" si="101"/>
        <v>0</v>
      </c>
      <c r="U917" s="3">
        <f t="shared" si="102"/>
        <v>0.36138304356368334</v>
      </c>
      <c r="V917" s="5">
        <f t="shared" si="103"/>
        <v>-1</v>
      </c>
    </row>
    <row r="918" spans="1:22" x14ac:dyDescent="0.3">
      <c r="A918">
        <v>1121925</v>
      </c>
      <c r="B918" s="1">
        <v>42967</v>
      </c>
      <c r="C918" s="1">
        <v>42967</v>
      </c>
      <c r="D918" s="6" t="s">
        <v>28</v>
      </c>
      <c r="E918" s="6" t="s">
        <v>28</v>
      </c>
      <c r="F918" s="8" t="s">
        <v>24</v>
      </c>
      <c r="G918" s="8" t="s">
        <v>27</v>
      </c>
      <c r="H918" s="8">
        <v>21</v>
      </c>
      <c r="I918" s="8">
        <v>27</v>
      </c>
      <c r="J918" s="8">
        <v>23</v>
      </c>
      <c r="K918" s="8">
        <v>244074</v>
      </c>
      <c r="L918" s="8">
        <v>57</v>
      </c>
      <c r="M918" s="8">
        <v>84.510000230000003</v>
      </c>
      <c r="N918" s="8">
        <v>4</v>
      </c>
      <c r="O918" s="8">
        <v>2</v>
      </c>
      <c r="P918" s="2">
        <f t="shared" si="98"/>
        <v>2.3353573096683792E-2</v>
      </c>
      <c r="Q918" s="3">
        <f t="shared" si="99"/>
        <v>1.4826315829824561</v>
      </c>
      <c r="R918" s="4">
        <f t="shared" si="104"/>
        <v>3.5087719298245612E-2</v>
      </c>
      <c r="S918" s="3">
        <f t="shared" si="100"/>
        <v>42.255000115000001</v>
      </c>
      <c r="T918" s="4">
        <f t="shared" si="101"/>
        <v>0.5</v>
      </c>
      <c r="U918" s="3">
        <f t="shared" si="102"/>
        <v>0.34624745048632793</v>
      </c>
      <c r="V918" s="5">
        <f t="shared" si="103"/>
        <v>0.18329191489578578</v>
      </c>
    </row>
    <row r="919" spans="1:22" x14ac:dyDescent="0.3">
      <c r="A919">
        <v>1121928</v>
      </c>
      <c r="B919" s="1">
        <v>42967</v>
      </c>
      <c r="C919" s="1">
        <v>42967</v>
      </c>
      <c r="D919" s="6" t="s">
        <v>28</v>
      </c>
      <c r="E919" s="6" t="s">
        <v>28</v>
      </c>
      <c r="F919" s="7" t="s">
        <v>24</v>
      </c>
      <c r="G919" s="7" t="s">
        <v>27</v>
      </c>
      <c r="H919" s="7">
        <v>21</v>
      </c>
      <c r="I919" s="7">
        <v>27</v>
      </c>
      <c r="J919" s="7">
        <v>24</v>
      </c>
      <c r="K919" s="7">
        <v>39146</v>
      </c>
      <c r="L919" s="7">
        <v>8</v>
      </c>
      <c r="M919" s="7">
        <v>13.05999959</v>
      </c>
      <c r="N919" s="7">
        <v>1</v>
      </c>
      <c r="O919" s="7">
        <v>0</v>
      </c>
      <c r="P919" s="2">
        <f t="shared" si="98"/>
        <v>2.0436315332345578E-2</v>
      </c>
      <c r="Q919" s="3">
        <f t="shared" si="99"/>
        <v>1.63249994875</v>
      </c>
      <c r="R919" s="4">
        <f t="shared" si="104"/>
        <v>0</v>
      </c>
      <c r="S919" s="3">
        <f t="shared" si="100"/>
        <v>0</v>
      </c>
      <c r="T919" s="4">
        <f t="shared" si="101"/>
        <v>0</v>
      </c>
      <c r="U919" s="3">
        <f t="shared" si="102"/>
        <v>0.33362283732692993</v>
      </c>
      <c r="V919" s="5">
        <f t="shared" si="103"/>
        <v>-1</v>
      </c>
    </row>
    <row r="920" spans="1:22" x14ac:dyDescent="0.3">
      <c r="A920">
        <v>1121931</v>
      </c>
      <c r="B920" s="1">
        <v>42967</v>
      </c>
      <c r="C920" s="1">
        <v>42967</v>
      </c>
      <c r="D920" s="6" t="s">
        <v>28</v>
      </c>
      <c r="E920" s="6" t="s">
        <v>28</v>
      </c>
      <c r="F920" s="8" t="s">
        <v>24</v>
      </c>
      <c r="G920" s="8" t="s">
        <v>27</v>
      </c>
      <c r="H920" s="8">
        <v>22</v>
      </c>
      <c r="I920" s="8">
        <v>26</v>
      </c>
      <c r="J920" s="8">
        <v>23</v>
      </c>
      <c r="K920" s="8">
        <v>78468</v>
      </c>
      <c r="L920" s="8">
        <v>15</v>
      </c>
      <c r="M920" s="8">
        <v>23.649999619999999</v>
      </c>
      <c r="N920" s="8">
        <v>1</v>
      </c>
      <c r="O920" s="8">
        <v>0</v>
      </c>
      <c r="P920" s="2">
        <f t="shared" si="98"/>
        <v>1.91160727940052E-2</v>
      </c>
      <c r="Q920" s="3">
        <f t="shared" si="99"/>
        <v>1.5766666413333332</v>
      </c>
      <c r="R920" s="4">
        <f t="shared" si="104"/>
        <v>0</v>
      </c>
      <c r="S920" s="3">
        <f t="shared" si="100"/>
        <v>0</v>
      </c>
      <c r="T920" s="4">
        <f t="shared" si="101"/>
        <v>0</v>
      </c>
      <c r="U920" s="3">
        <f t="shared" si="102"/>
        <v>0.30139674287607682</v>
      </c>
      <c r="V920" s="5">
        <f t="shared" si="103"/>
        <v>-1</v>
      </c>
    </row>
    <row r="921" spans="1:22" x14ac:dyDescent="0.3">
      <c r="A921">
        <v>1121933</v>
      </c>
      <c r="B921" s="1">
        <v>42966</v>
      </c>
      <c r="C921" s="1">
        <v>42966</v>
      </c>
      <c r="D921" s="6" t="s">
        <v>28</v>
      </c>
      <c r="E921" s="6" t="s">
        <v>28</v>
      </c>
      <c r="F921" s="7" t="s">
        <v>24</v>
      </c>
      <c r="G921" s="7" t="s">
        <v>27</v>
      </c>
      <c r="H921" s="7">
        <v>22</v>
      </c>
      <c r="I921" s="7">
        <v>24</v>
      </c>
      <c r="J921" s="7">
        <v>26</v>
      </c>
      <c r="K921" s="7">
        <v>325653</v>
      </c>
      <c r="L921" s="7">
        <v>63</v>
      </c>
      <c r="M921" s="7">
        <v>89.350000260000002</v>
      </c>
      <c r="N921" s="7">
        <v>2</v>
      </c>
      <c r="O921" s="7">
        <v>0</v>
      </c>
      <c r="P921" s="2">
        <f t="shared" si="98"/>
        <v>1.934574531786902E-2</v>
      </c>
      <c r="Q921" s="3">
        <f t="shared" si="99"/>
        <v>1.4182539723809524</v>
      </c>
      <c r="R921" s="4">
        <f t="shared" si="104"/>
        <v>0</v>
      </c>
      <c r="S921" s="3">
        <f t="shared" si="100"/>
        <v>0</v>
      </c>
      <c r="T921" s="4">
        <f t="shared" si="101"/>
        <v>0</v>
      </c>
      <c r="U921" s="3">
        <f t="shared" si="102"/>
        <v>0.27437180145737949</v>
      </c>
      <c r="V921" s="5">
        <f t="shared" si="103"/>
        <v>-1</v>
      </c>
    </row>
    <row r="922" spans="1:22" x14ac:dyDescent="0.3">
      <c r="A922">
        <v>1121935</v>
      </c>
      <c r="B922" s="1">
        <v>42966</v>
      </c>
      <c r="C922" s="1">
        <v>42966</v>
      </c>
      <c r="D922" s="6" t="s">
        <v>28</v>
      </c>
      <c r="E922" s="6" t="s">
        <v>28</v>
      </c>
      <c r="F922" s="8" t="s">
        <v>24</v>
      </c>
      <c r="G922" s="8" t="s">
        <v>27</v>
      </c>
      <c r="H922" s="8">
        <v>22</v>
      </c>
      <c r="I922" s="8">
        <v>25</v>
      </c>
      <c r="J922" s="8">
        <v>23</v>
      </c>
      <c r="K922" s="8">
        <v>66277</v>
      </c>
      <c r="L922" s="8">
        <v>12</v>
      </c>
      <c r="M922" s="8">
        <v>17.300000189999999</v>
      </c>
      <c r="N922" s="8">
        <v>1</v>
      </c>
      <c r="O922" s="8">
        <v>0</v>
      </c>
      <c r="P922" s="2">
        <f t="shared" si="98"/>
        <v>1.8105828567979841E-2</v>
      </c>
      <c r="Q922" s="3">
        <f t="shared" si="99"/>
        <v>1.4416666825</v>
      </c>
      <c r="R922" s="4">
        <f t="shared" si="104"/>
        <v>0</v>
      </c>
      <c r="S922" s="3">
        <f t="shared" si="100"/>
        <v>0</v>
      </c>
      <c r="T922" s="4">
        <f t="shared" si="101"/>
        <v>0</v>
      </c>
      <c r="U922" s="3">
        <f t="shared" si="102"/>
        <v>0.2610256980551322</v>
      </c>
      <c r="V922" s="5">
        <f t="shared" si="103"/>
        <v>-1</v>
      </c>
    </row>
    <row r="923" spans="1:22" x14ac:dyDescent="0.3">
      <c r="A923">
        <v>1121936</v>
      </c>
      <c r="B923" s="1">
        <v>42965</v>
      </c>
      <c r="C923" s="1">
        <v>42965</v>
      </c>
      <c r="D923" s="6" t="s">
        <v>28</v>
      </c>
      <c r="E923" s="6" t="s">
        <v>28</v>
      </c>
      <c r="F923" s="7" t="s">
        <v>24</v>
      </c>
      <c r="G923" s="7" t="s">
        <v>27</v>
      </c>
      <c r="H923" s="7">
        <v>22</v>
      </c>
      <c r="I923" s="7">
        <v>26</v>
      </c>
      <c r="J923" s="7">
        <v>25</v>
      </c>
      <c r="K923" s="7">
        <v>93002</v>
      </c>
      <c r="L923" s="7">
        <v>16</v>
      </c>
      <c r="M923" s="7">
        <v>23.339999679999998</v>
      </c>
      <c r="N923" s="7">
        <v>1</v>
      </c>
      <c r="O923" s="7">
        <v>0</v>
      </c>
      <c r="P923" s="2">
        <f t="shared" si="98"/>
        <v>1.7203931098255954E-2</v>
      </c>
      <c r="Q923" s="3">
        <f t="shared" si="99"/>
        <v>1.4587499799999999</v>
      </c>
      <c r="R923" s="4">
        <f t="shared" si="104"/>
        <v>0</v>
      </c>
      <c r="S923" s="3">
        <f t="shared" si="100"/>
        <v>0</v>
      </c>
      <c r="T923" s="4">
        <f t="shared" si="101"/>
        <v>0</v>
      </c>
      <c r="U923" s="3">
        <f t="shared" si="102"/>
        <v>0.25096234145502244</v>
      </c>
      <c r="V923" s="5">
        <f t="shared" si="103"/>
        <v>-1</v>
      </c>
    </row>
    <row r="924" spans="1:22" x14ac:dyDescent="0.3">
      <c r="A924">
        <v>1121944</v>
      </c>
      <c r="B924" s="1">
        <v>42965</v>
      </c>
      <c r="C924" s="1">
        <v>42965</v>
      </c>
      <c r="D924" s="6" t="s">
        <v>28</v>
      </c>
      <c r="E924" s="6" t="s">
        <v>28</v>
      </c>
      <c r="F924" s="8" t="s">
        <v>24</v>
      </c>
      <c r="G924" s="8" t="s">
        <v>27</v>
      </c>
      <c r="H924" s="8">
        <v>24</v>
      </c>
      <c r="I924" s="8">
        <v>25</v>
      </c>
      <c r="J924" s="8">
        <v>29</v>
      </c>
      <c r="K924" s="8">
        <v>109723</v>
      </c>
      <c r="L924" s="8">
        <v>27</v>
      </c>
      <c r="M924" s="8">
        <v>40.960000399999998</v>
      </c>
      <c r="N924" s="8">
        <v>1</v>
      </c>
      <c r="O924" s="8">
        <v>0</v>
      </c>
      <c r="P924" s="2">
        <f t="shared" si="98"/>
        <v>2.4607420504360978E-2</v>
      </c>
      <c r="Q924" s="3">
        <f t="shared" si="99"/>
        <v>1.5170370518518519</v>
      </c>
      <c r="R924" s="4">
        <f t="shared" si="104"/>
        <v>0</v>
      </c>
      <c r="S924" s="3">
        <f t="shared" si="100"/>
        <v>0</v>
      </c>
      <c r="T924" s="4">
        <f t="shared" si="101"/>
        <v>0</v>
      </c>
      <c r="U924" s="3">
        <f t="shared" si="102"/>
        <v>0.37330368655614593</v>
      </c>
      <c r="V924" s="5">
        <f t="shared" si="103"/>
        <v>-1</v>
      </c>
    </row>
    <row r="925" spans="1:22" x14ac:dyDescent="0.3">
      <c r="A925">
        <v>1121948</v>
      </c>
      <c r="B925" s="1">
        <v>42965</v>
      </c>
      <c r="C925" s="1">
        <v>42965</v>
      </c>
      <c r="D925" s="6" t="s">
        <v>28</v>
      </c>
      <c r="E925" s="6" t="s">
        <v>28</v>
      </c>
      <c r="F925" s="7" t="s">
        <v>24</v>
      </c>
      <c r="G925" s="7" t="s">
        <v>27</v>
      </c>
      <c r="H925" s="7">
        <v>24</v>
      </c>
      <c r="I925" s="7">
        <v>27</v>
      </c>
      <c r="J925" s="7">
        <v>28</v>
      </c>
      <c r="K925" s="7">
        <v>118941</v>
      </c>
      <c r="L925" s="7">
        <v>35</v>
      </c>
      <c r="M925" s="7">
        <v>50.11000001</v>
      </c>
      <c r="N925" s="7">
        <v>4</v>
      </c>
      <c r="O925" s="7">
        <v>1</v>
      </c>
      <c r="P925" s="2">
        <f t="shared" si="98"/>
        <v>2.9426354242859908E-2</v>
      </c>
      <c r="Q925" s="3">
        <f t="shared" si="99"/>
        <v>1.4317142860000001</v>
      </c>
      <c r="R925" s="4">
        <f t="shared" si="104"/>
        <v>2.8571428571428571E-2</v>
      </c>
      <c r="S925" s="3">
        <f t="shared" si="100"/>
        <v>50.11000001</v>
      </c>
      <c r="T925" s="4">
        <f t="shared" si="101"/>
        <v>0.25</v>
      </c>
      <c r="U925" s="3">
        <f t="shared" si="102"/>
        <v>0.42130131754399242</v>
      </c>
      <c r="V925" s="5">
        <f t="shared" si="103"/>
        <v>-2.1951708237487239E-3</v>
      </c>
    </row>
    <row r="926" spans="1:22" x14ac:dyDescent="0.3">
      <c r="A926">
        <v>1121949</v>
      </c>
      <c r="B926" s="1">
        <v>42966</v>
      </c>
      <c r="C926" s="1">
        <v>42966</v>
      </c>
      <c r="D926" s="6" t="s">
        <v>28</v>
      </c>
      <c r="E926" s="6" t="s">
        <v>28</v>
      </c>
      <c r="F926" s="8" t="s">
        <v>24</v>
      </c>
      <c r="G926" s="8" t="s">
        <v>27</v>
      </c>
      <c r="H926" s="8">
        <v>25</v>
      </c>
      <c r="I926" s="8">
        <v>27</v>
      </c>
      <c r="J926" s="8">
        <v>27</v>
      </c>
      <c r="K926" s="8">
        <v>221576</v>
      </c>
      <c r="L926" s="8">
        <v>47</v>
      </c>
      <c r="M926" s="8">
        <v>66.790000680000006</v>
      </c>
      <c r="N926" s="8">
        <v>6</v>
      </c>
      <c r="O926" s="8">
        <v>1</v>
      </c>
      <c r="P926" s="2">
        <f t="shared" si="98"/>
        <v>2.1211683575838539E-2</v>
      </c>
      <c r="Q926" s="3">
        <f t="shared" si="99"/>
        <v>1.4210638442553192</v>
      </c>
      <c r="R926" s="4">
        <f t="shared" si="104"/>
        <v>2.1276595744680851E-2</v>
      </c>
      <c r="S926" s="3">
        <f t="shared" si="100"/>
        <v>66.790000680000006</v>
      </c>
      <c r="T926" s="4">
        <f t="shared" si="101"/>
        <v>0.16666666666666666</v>
      </c>
      <c r="U926" s="3">
        <f t="shared" si="102"/>
        <v>0.30143156605408528</v>
      </c>
      <c r="V926" s="5">
        <f t="shared" si="103"/>
        <v>-0.25138494548672319</v>
      </c>
    </row>
    <row r="927" spans="1:22" x14ac:dyDescent="0.3">
      <c r="A927">
        <v>1121953</v>
      </c>
      <c r="B927" s="1">
        <v>42966</v>
      </c>
      <c r="C927" s="1">
        <v>42966</v>
      </c>
      <c r="D927" s="6" t="s">
        <v>28</v>
      </c>
      <c r="E927" s="6" t="s">
        <v>28</v>
      </c>
      <c r="F927" s="7" t="s">
        <v>24</v>
      </c>
      <c r="G927" s="7" t="s">
        <v>27</v>
      </c>
      <c r="H927" s="7">
        <v>25</v>
      </c>
      <c r="I927" s="7">
        <v>29</v>
      </c>
      <c r="J927" s="7">
        <v>27</v>
      </c>
      <c r="K927" s="7">
        <v>8341</v>
      </c>
      <c r="L927" s="7">
        <v>1</v>
      </c>
      <c r="M927" s="7">
        <v>1.6399999860000001</v>
      </c>
      <c r="N927" s="7">
        <v>1</v>
      </c>
      <c r="O927" s="7">
        <v>0</v>
      </c>
      <c r="P927" s="2">
        <f t="shared" si="98"/>
        <v>1.1988970147464332E-2</v>
      </c>
      <c r="Q927" s="3">
        <f t="shared" si="99"/>
        <v>1.6399999860000001</v>
      </c>
      <c r="R927" s="4">
        <f t="shared" si="104"/>
        <v>0</v>
      </c>
      <c r="S927" s="3">
        <f t="shared" si="100"/>
        <v>0</v>
      </c>
      <c r="T927" s="4">
        <f t="shared" si="101"/>
        <v>0</v>
      </c>
      <c r="U927" s="3">
        <f t="shared" si="102"/>
        <v>0.19661910873995925</v>
      </c>
      <c r="V927" s="5">
        <f t="shared" si="103"/>
        <v>-1</v>
      </c>
    </row>
    <row r="928" spans="1:22" x14ac:dyDescent="0.3">
      <c r="A928">
        <v>1121954</v>
      </c>
      <c r="B928" s="1">
        <v>42966</v>
      </c>
      <c r="C928" s="1">
        <v>42966</v>
      </c>
      <c r="D928" s="6" t="s">
        <v>28</v>
      </c>
      <c r="E928" s="6" t="s">
        <v>28</v>
      </c>
      <c r="F928" s="8" t="s">
        <v>24</v>
      </c>
      <c r="G928" s="8" t="s">
        <v>27</v>
      </c>
      <c r="H928" s="8">
        <v>25</v>
      </c>
      <c r="I928" s="8">
        <v>30</v>
      </c>
      <c r="J928" s="8">
        <v>27</v>
      </c>
      <c r="K928" s="8">
        <v>120335</v>
      </c>
      <c r="L928" s="8">
        <v>26</v>
      </c>
      <c r="M928" s="8">
        <v>36.229999300000003</v>
      </c>
      <c r="N928" s="8">
        <v>2</v>
      </c>
      <c r="O928" s="8">
        <v>0</v>
      </c>
      <c r="P928" s="2">
        <f t="shared" si="98"/>
        <v>2.1606348942535422E-2</v>
      </c>
      <c r="Q928" s="3">
        <f t="shared" si="99"/>
        <v>1.3934615115384617</v>
      </c>
      <c r="R928" s="4">
        <f t="shared" si="104"/>
        <v>0</v>
      </c>
      <c r="S928" s="3">
        <f t="shared" si="100"/>
        <v>0</v>
      </c>
      <c r="T928" s="4">
        <f t="shared" si="101"/>
        <v>0</v>
      </c>
      <c r="U928" s="3">
        <f t="shared" si="102"/>
        <v>0.30107615656292852</v>
      </c>
      <c r="V928" s="5">
        <f t="shared" si="103"/>
        <v>-1</v>
      </c>
    </row>
    <row r="929" spans="1:22" x14ac:dyDescent="0.3">
      <c r="A929">
        <v>1121955</v>
      </c>
      <c r="B929" s="1">
        <v>42966</v>
      </c>
      <c r="C929" s="1">
        <v>42966</v>
      </c>
      <c r="D929" s="6" t="s">
        <v>28</v>
      </c>
      <c r="E929" s="6" t="s">
        <v>28</v>
      </c>
      <c r="F929" s="7" t="s">
        <v>24</v>
      </c>
      <c r="G929" s="7" t="s">
        <v>27</v>
      </c>
      <c r="H929" s="7">
        <v>26</v>
      </c>
      <c r="I929" s="7">
        <v>28</v>
      </c>
      <c r="J929" s="7">
        <v>31</v>
      </c>
      <c r="K929" s="7">
        <v>182098</v>
      </c>
      <c r="L929" s="7">
        <v>40</v>
      </c>
      <c r="M929" s="7">
        <v>62.869999890000003</v>
      </c>
      <c r="N929" s="7">
        <v>1</v>
      </c>
      <c r="O929" s="7">
        <v>1</v>
      </c>
      <c r="P929" s="2">
        <f t="shared" si="98"/>
        <v>2.1966194027391844E-2</v>
      </c>
      <c r="Q929" s="3">
        <f t="shared" si="99"/>
        <v>1.57174999725</v>
      </c>
      <c r="R929" s="4">
        <f t="shared" si="104"/>
        <v>2.5000000000000001E-2</v>
      </c>
      <c r="S929" s="3">
        <f t="shared" si="100"/>
        <v>62.869999890000003</v>
      </c>
      <c r="T929" s="4">
        <f t="shared" si="101"/>
        <v>1</v>
      </c>
      <c r="U929" s="3">
        <f t="shared" si="102"/>
        <v>0.34525365402146097</v>
      </c>
      <c r="V929" s="5">
        <f t="shared" si="103"/>
        <v>-0.20470812649145692</v>
      </c>
    </row>
    <row r="930" spans="1:22" x14ac:dyDescent="0.3">
      <c r="A930">
        <v>1121956</v>
      </c>
      <c r="B930" s="1">
        <v>42966</v>
      </c>
      <c r="C930" s="1">
        <v>42966</v>
      </c>
      <c r="D930" s="6" t="s">
        <v>28</v>
      </c>
      <c r="E930" s="6" t="s">
        <v>28</v>
      </c>
      <c r="F930" s="8" t="s">
        <v>24</v>
      </c>
      <c r="G930" s="8" t="s">
        <v>27</v>
      </c>
      <c r="H930" s="8">
        <v>26</v>
      </c>
      <c r="I930" s="8">
        <v>31</v>
      </c>
      <c r="J930" s="8">
        <v>28</v>
      </c>
      <c r="K930" s="8">
        <v>227473</v>
      </c>
      <c r="L930" s="8">
        <v>52</v>
      </c>
      <c r="M930" s="8">
        <v>71.580000519999999</v>
      </c>
      <c r="N930" s="8">
        <v>1</v>
      </c>
      <c r="O930" s="8">
        <v>1</v>
      </c>
      <c r="P930" s="2">
        <f t="shared" si="98"/>
        <v>2.2859855894985338E-2</v>
      </c>
      <c r="Q930" s="3">
        <f t="shared" si="99"/>
        <v>1.3765384715384614</v>
      </c>
      <c r="R930" s="4">
        <f t="shared" si="104"/>
        <v>1.9230769230769232E-2</v>
      </c>
      <c r="S930" s="3">
        <f t="shared" si="100"/>
        <v>71.580000519999999</v>
      </c>
      <c r="T930" s="4">
        <f t="shared" si="101"/>
        <v>1</v>
      </c>
      <c r="U930" s="3">
        <f t="shared" si="102"/>
        <v>0.31467471093272609</v>
      </c>
      <c r="V930" s="5">
        <f t="shared" si="103"/>
        <v>-0.30148086565004117</v>
      </c>
    </row>
    <row r="931" spans="1:22" x14ac:dyDescent="0.3">
      <c r="A931">
        <v>1121962</v>
      </c>
      <c r="B931" s="1">
        <v>42966</v>
      </c>
      <c r="C931" s="1">
        <v>42966</v>
      </c>
      <c r="D931" s="6" t="s">
        <v>28</v>
      </c>
      <c r="E931" s="6" t="s">
        <v>28</v>
      </c>
      <c r="F931" s="7" t="s">
        <v>24</v>
      </c>
      <c r="G931" s="7" t="s">
        <v>27</v>
      </c>
      <c r="H931" s="7">
        <v>27</v>
      </c>
      <c r="I931" s="7">
        <v>30</v>
      </c>
      <c r="J931" s="7">
        <v>32</v>
      </c>
      <c r="K931" s="7">
        <v>1050947</v>
      </c>
      <c r="L931" s="7">
        <v>230</v>
      </c>
      <c r="M931" s="7">
        <v>350.50999569999999</v>
      </c>
      <c r="N931" s="7">
        <v>6</v>
      </c>
      <c r="O931" s="7">
        <v>1</v>
      </c>
      <c r="P931" s="2">
        <f t="shared" si="98"/>
        <v>2.1885023697674574E-2</v>
      </c>
      <c r="Q931" s="3">
        <f t="shared" si="99"/>
        <v>1.5239565030434783</v>
      </c>
      <c r="R931" s="4">
        <f t="shared" si="104"/>
        <v>4.3478260869565218E-3</v>
      </c>
      <c r="S931" s="3">
        <f t="shared" si="100"/>
        <v>350.50999569999999</v>
      </c>
      <c r="T931" s="4">
        <f t="shared" si="101"/>
        <v>0.16666666666666666</v>
      </c>
      <c r="U931" s="3">
        <f t="shared" si="102"/>
        <v>0.33351824183331796</v>
      </c>
      <c r="V931" s="5">
        <f t="shared" si="103"/>
        <v>-0.8573507157758925</v>
      </c>
    </row>
    <row r="932" spans="1:22" x14ac:dyDescent="0.3">
      <c r="A932">
        <v>1121963</v>
      </c>
      <c r="B932" s="1">
        <v>42971</v>
      </c>
      <c r="C932" s="1">
        <v>42971</v>
      </c>
      <c r="D932" s="6" t="s">
        <v>28</v>
      </c>
      <c r="E932" s="6" t="s">
        <v>28</v>
      </c>
      <c r="F932" s="8" t="s">
        <v>24</v>
      </c>
      <c r="G932" s="8" t="s">
        <v>27</v>
      </c>
      <c r="H932" s="8">
        <v>27</v>
      </c>
      <c r="I932" s="8">
        <v>32</v>
      </c>
      <c r="J932" s="8">
        <v>28</v>
      </c>
      <c r="K932" s="8">
        <v>720859</v>
      </c>
      <c r="L932" s="8">
        <v>162</v>
      </c>
      <c r="M932" s="8">
        <v>213.6899986</v>
      </c>
      <c r="N932" s="8">
        <v>13</v>
      </c>
      <c r="O932" s="8">
        <v>5</v>
      </c>
      <c r="P932" s="2">
        <f t="shared" si="98"/>
        <v>2.2473188237921701E-2</v>
      </c>
      <c r="Q932" s="3">
        <f t="shared" si="99"/>
        <v>1.3190740654320987</v>
      </c>
      <c r="R932" s="4">
        <f t="shared" si="104"/>
        <v>3.0864197530864196E-2</v>
      </c>
      <c r="S932" s="3">
        <f t="shared" si="100"/>
        <v>42.737999719999998</v>
      </c>
      <c r="T932" s="4">
        <f t="shared" si="101"/>
        <v>0.38461538461538464</v>
      </c>
      <c r="U932" s="3">
        <f t="shared" si="102"/>
        <v>0.29643799772216201</v>
      </c>
      <c r="V932" s="5">
        <f t="shared" si="103"/>
        <v>0.16991904926710036</v>
      </c>
    </row>
    <row r="933" spans="1:22" x14ac:dyDescent="0.3">
      <c r="A933">
        <v>1121971</v>
      </c>
      <c r="B933" s="1">
        <v>42971</v>
      </c>
      <c r="C933" s="1">
        <v>42971</v>
      </c>
      <c r="D933" s="6" t="s">
        <v>28</v>
      </c>
      <c r="E933" s="6" t="s">
        <v>28</v>
      </c>
      <c r="F933" s="7" t="s">
        <v>24</v>
      </c>
      <c r="G933" s="7" t="s">
        <v>27</v>
      </c>
      <c r="H933" s="7">
        <v>28</v>
      </c>
      <c r="I933" s="7">
        <v>31</v>
      </c>
      <c r="J933" s="7">
        <v>32</v>
      </c>
      <c r="K933" s="7">
        <v>41111</v>
      </c>
      <c r="L933" s="7">
        <v>8</v>
      </c>
      <c r="M933" s="7">
        <v>10.96000016</v>
      </c>
      <c r="N933" s="7">
        <v>1</v>
      </c>
      <c r="O933" s="7">
        <v>0</v>
      </c>
      <c r="P933" s="2">
        <f t="shared" si="98"/>
        <v>1.9459512052735276E-2</v>
      </c>
      <c r="Q933" s="3">
        <f t="shared" si="99"/>
        <v>1.37000002</v>
      </c>
      <c r="R933" s="4">
        <f t="shared" si="104"/>
        <v>0</v>
      </c>
      <c r="S933" s="3">
        <f t="shared" si="100"/>
        <v>0</v>
      </c>
      <c r="T933" s="4">
        <f t="shared" si="101"/>
        <v>0</v>
      </c>
      <c r="U933" s="3">
        <f t="shared" si="102"/>
        <v>0.26659531901437566</v>
      </c>
      <c r="V933" s="5">
        <f t="shared" si="103"/>
        <v>-1</v>
      </c>
    </row>
    <row r="934" spans="1:22" x14ac:dyDescent="0.3">
      <c r="A934">
        <v>1121973</v>
      </c>
      <c r="B934" s="1">
        <v>42977</v>
      </c>
      <c r="C934" s="1">
        <v>42977</v>
      </c>
      <c r="D934" s="6" t="s">
        <v>28</v>
      </c>
      <c r="E934" s="6" t="s">
        <v>28</v>
      </c>
      <c r="F934" s="8" t="s">
        <v>24</v>
      </c>
      <c r="G934" s="8" t="s">
        <v>27</v>
      </c>
      <c r="H934" s="8">
        <v>29</v>
      </c>
      <c r="I934" s="8">
        <v>31</v>
      </c>
      <c r="J934" s="8">
        <v>34</v>
      </c>
      <c r="K934" s="8">
        <v>148616</v>
      </c>
      <c r="L934" s="8">
        <v>25</v>
      </c>
      <c r="M934" s="8">
        <v>37.399999620000003</v>
      </c>
      <c r="N934" s="8">
        <v>6</v>
      </c>
      <c r="O934" s="8">
        <v>4</v>
      </c>
      <c r="P934" s="2">
        <f t="shared" si="98"/>
        <v>1.6821876513968888E-2</v>
      </c>
      <c r="Q934" s="3">
        <f t="shared" si="99"/>
        <v>1.4959999848000001</v>
      </c>
      <c r="R934" s="4">
        <f t="shared" si="104"/>
        <v>0.16</v>
      </c>
      <c r="S934" s="3">
        <f t="shared" si="100"/>
        <v>9.3499999050000007</v>
      </c>
      <c r="T934" s="4">
        <f t="shared" si="101"/>
        <v>0.66666666666666663</v>
      </c>
      <c r="U934" s="3">
        <f t="shared" si="102"/>
        <v>0.2516552700920493</v>
      </c>
      <c r="V934" s="5">
        <f t="shared" si="103"/>
        <v>4.3475936372215385</v>
      </c>
    </row>
    <row r="935" spans="1:22" x14ac:dyDescent="0.3">
      <c r="A935">
        <v>1121976</v>
      </c>
      <c r="B935" s="1">
        <v>42977</v>
      </c>
      <c r="C935" s="1">
        <v>42977</v>
      </c>
      <c r="D935" s="6" t="s">
        <v>28</v>
      </c>
      <c r="E935" s="6" t="s">
        <v>28</v>
      </c>
      <c r="F935" s="7" t="s">
        <v>24</v>
      </c>
      <c r="G935" s="7" t="s">
        <v>27</v>
      </c>
      <c r="H935" s="7">
        <v>29</v>
      </c>
      <c r="I935" s="7">
        <v>34</v>
      </c>
      <c r="J935" s="7">
        <v>34</v>
      </c>
      <c r="K935" s="7">
        <v>707260</v>
      </c>
      <c r="L935" s="7">
        <v>135</v>
      </c>
      <c r="M935" s="7">
        <v>210.8200028</v>
      </c>
      <c r="N935" s="7">
        <v>13</v>
      </c>
      <c r="O935" s="7">
        <v>6</v>
      </c>
      <c r="P935" s="2">
        <f t="shared" si="98"/>
        <v>1.9087747080281652E-2</v>
      </c>
      <c r="Q935" s="3">
        <f t="shared" si="99"/>
        <v>1.5616296503703704</v>
      </c>
      <c r="R935" s="4">
        <f t="shared" si="104"/>
        <v>4.4444444444444446E-2</v>
      </c>
      <c r="S935" s="3">
        <f t="shared" si="100"/>
        <v>35.136667133333333</v>
      </c>
      <c r="T935" s="4">
        <f t="shared" si="101"/>
        <v>0.46153846153846156</v>
      </c>
      <c r="U935" s="3">
        <f t="shared" si="102"/>
        <v>0.2980799179933829</v>
      </c>
      <c r="V935" s="5">
        <f t="shared" si="103"/>
        <v>0.42301487532282683</v>
      </c>
    </row>
    <row r="936" spans="1:22" x14ac:dyDescent="0.3">
      <c r="A936">
        <v>1121977</v>
      </c>
      <c r="B936" s="1">
        <v>42977</v>
      </c>
      <c r="C936" s="1">
        <v>42977</v>
      </c>
      <c r="D936" s="6" t="s">
        <v>28</v>
      </c>
      <c r="E936" s="6" t="s">
        <v>28</v>
      </c>
      <c r="F936" s="8" t="s">
        <v>24</v>
      </c>
      <c r="G936" s="8" t="s">
        <v>27</v>
      </c>
      <c r="H936" s="8">
        <v>29</v>
      </c>
      <c r="I936" s="8">
        <v>32</v>
      </c>
      <c r="J936" s="8">
        <v>32</v>
      </c>
      <c r="K936" s="8">
        <v>139596</v>
      </c>
      <c r="L936" s="8">
        <v>26</v>
      </c>
      <c r="M936" s="8">
        <v>42.410000320000002</v>
      </c>
      <c r="N936" s="8">
        <v>1</v>
      </c>
      <c r="O936" s="8">
        <v>1</v>
      </c>
      <c r="P936" s="2">
        <f t="shared" si="98"/>
        <v>1.8625175506461505E-2</v>
      </c>
      <c r="Q936" s="3">
        <f t="shared" si="99"/>
        <v>1.6311538584615386</v>
      </c>
      <c r="R936" s="4">
        <f t="shared" si="104"/>
        <v>3.8461538461538464E-2</v>
      </c>
      <c r="S936" s="3">
        <f t="shared" si="100"/>
        <v>42.410000320000002</v>
      </c>
      <c r="T936" s="4">
        <f t="shared" si="101"/>
        <v>1</v>
      </c>
      <c r="U936" s="3">
        <f t="shared" si="102"/>
        <v>0.30380526891888021</v>
      </c>
      <c r="V936" s="5">
        <f t="shared" si="103"/>
        <v>0.17896721581538527</v>
      </c>
    </row>
    <row r="937" spans="1:22" x14ac:dyDescent="0.3">
      <c r="A937">
        <v>1121983</v>
      </c>
      <c r="B937" s="1">
        <v>42977</v>
      </c>
      <c r="C937" s="1">
        <v>42977</v>
      </c>
      <c r="D937" s="6" t="s">
        <v>28</v>
      </c>
      <c r="E937" s="6" t="s">
        <v>28</v>
      </c>
      <c r="F937" s="7" t="s">
        <v>24</v>
      </c>
      <c r="G937" s="7" t="s">
        <v>27</v>
      </c>
      <c r="H937" s="7">
        <v>30</v>
      </c>
      <c r="I937" s="7">
        <v>34</v>
      </c>
      <c r="J937" s="7">
        <v>31</v>
      </c>
      <c r="K937" s="7">
        <v>105399</v>
      </c>
      <c r="L937" s="7">
        <v>22</v>
      </c>
      <c r="M937" s="7">
        <v>33.199999329999997</v>
      </c>
      <c r="N937" s="7">
        <v>2</v>
      </c>
      <c r="O937" s="7">
        <v>0</v>
      </c>
      <c r="P937" s="2">
        <f t="shared" si="98"/>
        <v>2.0873063311796124E-2</v>
      </c>
      <c r="Q937" s="3">
        <f t="shared" si="99"/>
        <v>1.5090908786363635</v>
      </c>
      <c r="R937" s="4">
        <f t="shared" si="104"/>
        <v>0</v>
      </c>
      <c r="S937" s="3">
        <f t="shared" si="100"/>
        <v>0</v>
      </c>
      <c r="T937" s="4">
        <f t="shared" si="101"/>
        <v>0</v>
      </c>
      <c r="U937" s="3">
        <f t="shared" si="102"/>
        <v>0.31499349453030856</v>
      </c>
      <c r="V937" s="5">
        <f t="shared" si="103"/>
        <v>-1</v>
      </c>
    </row>
    <row r="938" spans="1:22" x14ac:dyDescent="0.3">
      <c r="A938">
        <v>1121994</v>
      </c>
      <c r="B938" s="1">
        <v>42977</v>
      </c>
      <c r="C938" s="1">
        <v>42977</v>
      </c>
      <c r="D938" s="6" t="s">
        <v>28</v>
      </c>
      <c r="E938" s="6" t="s">
        <v>28</v>
      </c>
      <c r="F938" s="8" t="s">
        <v>24</v>
      </c>
      <c r="G938" s="8" t="s">
        <v>27</v>
      </c>
      <c r="H938" s="8">
        <v>32</v>
      </c>
      <c r="I938" s="8">
        <v>33</v>
      </c>
      <c r="J938" s="8">
        <v>34</v>
      </c>
      <c r="K938" s="8">
        <v>222378</v>
      </c>
      <c r="L938" s="8">
        <v>50</v>
      </c>
      <c r="M938" s="8">
        <v>72.910001039999997</v>
      </c>
      <c r="N938" s="8">
        <v>1</v>
      </c>
      <c r="O938" s="8">
        <v>0</v>
      </c>
      <c r="P938" s="2">
        <f t="shared" si="98"/>
        <v>2.2484238548777308E-2</v>
      </c>
      <c r="Q938" s="3">
        <f t="shared" si="99"/>
        <v>1.4582000207999999</v>
      </c>
      <c r="R938" s="4">
        <f t="shared" si="104"/>
        <v>0</v>
      </c>
      <c r="S938" s="3">
        <f t="shared" si="100"/>
        <v>0</v>
      </c>
      <c r="T938" s="4">
        <f t="shared" si="101"/>
        <v>0</v>
      </c>
      <c r="U938" s="3">
        <f t="shared" si="102"/>
        <v>0.32786517119499231</v>
      </c>
      <c r="V938" s="5">
        <f t="shared" si="103"/>
        <v>-1</v>
      </c>
    </row>
    <row r="939" spans="1:22" x14ac:dyDescent="0.3">
      <c r="A939">
        <v>1122003</v>
      </c>
      <c r="B939" s="1">
        <v>42964</v>
      </c>
      <c r="C939" s="1">
        <v>42964</v>
      </c>
      <c r="D939" s="6" t="s">
        <v>28</v>
      </c>
      <c r="E939" s="6" t="s">
        <v>28</v>
      </c>
      <c r="F939" s="7" t="s">
        <v>24</v>
      </c>
      <c r="G939" s="7" t="s">
        <v>27</v>
      </c>
      <c r="H939" s="7">
        <v>63</v>
      </c>
      <c r="I939" s="7">
        <v>69</v>
      </c>
      <c r="J939" s="7">
        <v>68</v>
      </c>
      <c r="K939" s="7">
        <v>975792</v>
      </c>
      <c r="L939" s="7">
        <v>210</v>
      </c>
      <c r="M939" s="7">
        <v>293.88000110000002</v>
      </c>
      <c r="N939" s="7">
        <v>10</v>
      </c>
      <c r="O939" s="7">
        <v>4</v>
      </c>
      <c r="P939" s="2">
        <f t="shared" si="98"/>
        <v>2.1520979880958236E-2</v>
      </c>
      <c r="Q939" s="3">
        <f t="shared" si="99"/>
        <v>1.3994285766666668</v>
      </c>
      <c r="R939" s="4">
        <f t="shared" si="104"/>
        <v>1.9047619047619049E-2</v>
      </c>
      <c r="S939" s="3">
        <f t="shared" si="100"/>
        <v>73.470000275000004</v>
      </c>
      <c r="T939" s="4">
        <f t="shared" si="101"/>
        <v>0.4</v>
      </c>
      <c r="U939" s="3">
        <f t="shared" si="102"/>
        <v>0.30117074243281355</v>
      </c>
      <c r="V939" s="5">
        <f t="shared" si="103"/>
        <v>-0.31945011824079517</v>
      </c>
    </row>
    <row r="940" spans="1:22" x14ac:dyDescent="0.3">
      <c r="A940">
        <v>1122004</v>
      </c>
      <c r="B940" s="1">
        <v>42977</v>
      </c>
      <c r="C940" s="1">
        <v>42977</v>
      </c>
      <c r="D940" s="6" t="s">
        <v>28</v>
      </c>
      <c r="E940" s="6" t="s">
        <v>28</v>
      </c>
      <c r="F940" s="8" t="s">
        <v>24</v>
      </c>
      <c r="G940" s="8" t="s">
        <v>27</v>
      </c>
      <c r="H940" s="8">
        <v>63</v>
      </c>
      <c r="I940" s="8">
        <v>65</v>
      </c>
      <c r="J940" s="8">
        <v>67</v>
      </c>
      <c r="K940" s="8">
        <v>579150</v>
      </c>
      <c r="L940" s="8">
        <v>125</v>
      </c>
      <c r="M940" s="8">
        <v>167.0499997</v>
      </c>
      <c r="N940" s="8">
        <v>5</v>
      </c>
      <c r="O940" s="8">
        <v>1</v>
      </c>
      <c r="P940" s="2">
        <f t="shared" si="98"/>
        <v>2.1583354916688252E-2</v>
      </c>
      <c r="Q940" s="3">
        <f t="shared" si="99"/>
        <v>1.3363999976000001</v>
      </c>
      <c r="R940" s="4">
        <f t="shared" si="104"/>
        <v>8.0000000000000002E-3</v>
      </c>
      <c r="S940" s="3">
        <f t="shared" si="100"/>
        <v>167.0499997</v>
      </c>
      <c r="T940" s="4">
        <f t="shared" si="101"/>
        <v>0.2</v>
      </c>
      <c r="U940" s="3">
        <f t="shared" si="102"/>
        <v>0.28843995458862126</v>
      </c>
      <c r="V940" s="5">
        <f t="shared" si="103"/>
        <v>-0.70068841610419952</v>
      </c>
    </row>
    <row r="941" spans="1:22" x14ac:dyDescent="0.3">
      <c r="A941">
        <v>1122005</v>
      </c>
      <c r="B941" s="1">
        <v>42977</v>
      </c>
      <c r="C941" s="1">
        <v>42977</v>
      </c>
      <c r="D941" s="6" t="s">
        <v>28</v>
      </c>
      <c r="E941" s="6" t="s">
        <v>28</v>
      </c>
      <c r="F941" s="7" t="s">
        <v>24</v>
      </c>
      <c r="G941" s="7" t="s">
        <v>27</v>
      </c>
      <c r="H941" s="7">
        <v>63</v>
      </c>
      <c r="I941" s="7">
        <v>65</v>
      </c>
      <c r="J941" s="7">
        <v>69</v>
      </c>
      <c r="K941" s="7">
        <v>449588</v>
      </c>
      <c r="L941" s="7">
        <v>81</v>
      </c>
      <c r="M941" s="7">
        <v>123.80000099999999</v>
      </c>
      <c r="N941" s="7">
        <v>5</v>
      </c>
      <c r="O941" s="7">
        <v>2</v>
      </c>
      <c r="P941" s="2">
        <f t="shared" si="98"/>
        <v>1.8016495102182443E-2</v>
      </c>
      <c r="Q941" s="3">
        <f t="shared" si="99"/>
        <v>1.5283950740740739</v>
      </c>
      <c r="R941" s="4">
        <f t="shared" si="104"/>
        <v>2.4691358024691357E-2</v>
      </c>
      <c r="S941" s="3">
        <f t="shared" si="100"/>
        <v>61.900000499999997</v>
      </c>
      <c r="T941" s="4">
        <f t="shared" si="101"/>
        <v>0.4</v>
      </c>
      <c r="U941" s="3">
        <f t="shared" si="102"/>
        <v>0.27536322366255328</v>
      </c>
      <c r="V941" s="5">
        <f t="shared" si="103"/>
        <v>-0.19224556387523772</v>
      </c>
    </row>
    <row r="942" spans="1:22" x14ac:dyDescent="0.3">
      <c r="A942">
        <v>1122006</v>
      </c>
      <c r="B942" s="1">
        <v>42977</v>
      </c>
      <c r="C942" s="1">
        <v>42977</v>
      </c>
      <c r="D942" s="6" t="s">
        <v>28</v>
      </c>
      <c r="E942" s="6" t="s">
        <v>28</v>
      </c>
      <c r="F942" s="8" t="s">
        <v>24</v>
      </c>
      <c r="G942" s="8" t="s">
        <v>27</v>
      </c>
      <c r="H942" s="8">
        <v>63</v>
      </c>
      <c r="I942" s="8">
        <v>68</v>
      </c>
      <c r="J942" s="8">
        <v>65</v>
      </c>
      <c r="K942" s="8">
        <v>318157</v>
      </c>
      <c r="L942" s="8">
        <v>56</v>
      </c>
      <c r="M942" s="8">
        <v>85.700001959999994</v>
      </c>
      <c r="N942" s="8">
        <v>3</v>
      </c>
      <c r="O942" s="8">
        <v>0</v>
      </c>
      <c r="P942" s="2">
        <f t="shared" si="98"/>
        <v>1.760137290708675E-2</v>
      </c>
      <c r="Q942" s="3">
        <f t="shared" si="99"/>
        <v>1.5303571778571428</v>
      </c>
      <c r="R942" s="4">
        <f t="shared" si="104"/>
        <v>0</v>
      </c>
      <c r="S942" s="3">
        <f t="shared" si="100"/>
        <v>0</v>
      </c>
      <c r="T942" s="4">
        <f t="shared" si="101"/>
        <v>0</v>
      </c>
      <c r="U942" s="3">
        <f t="shared" si="102"/>
        <v>0.26936387368500453</v>
      </c>
      <c r="V942" s="5">
        <f t="shared" si="103"/>
        <v>-1</v>
      </c>
    </row>
    <row r="943" spans="1:22" x14ac:dyDescent="0.3">
      <c r="A943">
        <v>1122007</v>
      </c>
      <c r="B943" s="1">
        <v>42977</v>
      </c>
      <c r="C943" s="1">
        <v>42977</v>
      </c>
      <c r="D943" s="6" t="s">
        <v>28</v>
      </c>
      <c r="E943" s="6" t="s">
        <v>28</v>
      </c>
      <c r="F943" s="7" t="s">
        <v>24</v>
      </c>
      <c r="G943" s="7" t="s">
        <v>27</v>
      </c>
      <c r="H943" s="7">
        <v>63</v>
      </c>
      <c r="I943" s="7">
        <v>65</v>
      </c>
      <c r="J943" s="7">
        <v>64</v>
      </c>
      <c r="K943" s="7">
        <v>196967</v>
      </c>
      <c r="L943" s="7">
        <v>43</v>
      </c>
      <c r="M943" s="7">
        <v>65.179999710000004</v>
      </c>
      <c r="N943" s="7">
        <v>2</v>
      </c>
      <c r="O943" s="7">
        <v>1</v>
      </c>
      <c r="P943" s="2">
        <f t="shared" si="98"/>
        <v>2.183106814847157E-2</v>
      </c>
      <c r="Q943" s="3">
        <f t="shared" si="99"/>
        <v>1.5158139467441862</v>
      </c>
      <c r="R943" s="4">
        <f t="shared" si="104"/>
        <v>2.3255813953488372E-2</v>
      </c>
      <c r="S943" s="3">
        <f t="shared" si="100"/>
        <v>65.179999710000004</v>
      </c>
      <c r="T943" s="4">
        <f t="shared" si="101"/>
        <v>0.5</v>
      </c>
      <c r="U943" s="3">
        <f t="shared" si="102"/>
        <v>0.33091837571775984</v>
      </c>
      <c r="V943" s="5">
        <f t="shared" si="103"/>
        <v>-0.23289352220833268</v>
      </c>
    </row>
    <row r="944" spans="1:22" x14ac:dyDescent="0.3">
      <c r="A944">
        <v>1122011</v>
      </c>
      <c r="B944" s="1">
        <v>42976</v>
      </c>
      <c r="C944" s="1">
        <v>42976</v>
      </c>
      <c r="D944" s="6" t="s">
        <v>28</v>
      </c>
      <c r="E944" s="6" t="s">
        <v>28</v>
      </c>
      <c r="F944" s="8" t="s">
        <v>24</v>
      </c>
      <c r="G944" s="8" t="s">
        <v>27</v>
      </c>
      <c r="H944" s="8">
        <v>64</v>
      </c>
      <c r="I944" s="8">
        <v>70</v>
      </c>
      <c r="J944" s="8">
        <v>67</v>
      </c>
      <c r="K944" s="8">
        <v>158298</v>
      </c>
      <c r="L944" s="8">
        <v>37</v>
      </c>
      <c r="M944" s="8">
        <v>46.430000069999998</v>
      </c>
      <c r="N944" s="8">
        <v>4</v>
      </c>
      <c r="O944" s="8">
        <v>1</v>
      </c>
      <c r="P944" s="2">
        <f t="shared" si="98"/>
        <v>2.3373637064271185E-2</v>
      </c>
      <c r="Q944" s="3">
        <f t="shared" si="99"/>
        <v>1.2548648667567568</v>
      </c>
      <c r="R944" s="4">
        <f t="shared" si="104"/>
        <v>2.7027027027027029E-2</v>
      </c>
      <c r="S944" s="3">
        <f t="shared" si="100"/>
        <v>46.430000069999998</v>
      </c>
      <c r="T944" s="4">
        <f t="shared" si="101"/>
        <v>0.25</v>
      </c>
      <c r="U944" s="3">
        <f t="shared" si="102"/>
        <v>0.29330755960277455</v>
      </c>
      <c r="V944" s="5">
        <f t="shared" si="103"/>
        <v>7.6889940224374453E-2</v>
      </c>
    </row>
    <row r="945" spans="1:22" x14ac:dyDescent="0.3">
      <c r="A945">
        <v>1122012</v>
      </c>
      <c r="B945" s="1">
        <v>42976</v>
      </c>
      <c r="C945" s="1">
        <v>42976</v>
      </c>
      <c r="D945" s="6" t="s">
        <v>28</v>
      </c>
      <c r="E945" s="6" t="s">
        <v>28</v>
      </c>
      <c r="F945" s="7" t="s">
        <v>24</v>
      </c>
      <c r="G945" s="7" t="s">
        <v>27</v>
      </c>
      <c r="H945" s="7">
        <v>64</v>
      </c>
      <c r="I945" s="7">
        <v>67</v>
      </c>
      <c r="J945" s="7">
        <v>69</v>
      </c>
      <c r="K945" s="7">
        <v>222739</v>
      </c>
      <c r="L945" s="7">
        <v>55</v>
      </c>
      <c r="M945" s="7">
        <v>68.559999590000004</v>
      </c>
      <c r="N945" s="7">
        <v>5</v>
      </c>
      <c r="O945" s="7">
        <v>2</v>
      </c>
      <c r="P945" s="2">
        <f t="shared" si="98"/>
        <v>2.4692577411230182E-2</v>
      </c>
      <c r="Q945" s="3">
        <f t="shared" si="99"/>
        <v>1.2465454470909092</v>
      </c>
      <c r="R945" s="4">
        <f t="shared" si="104"/>
        <v>3.6363636363636362E-2</v>
      </c>
      <c r="S945" s="3">
        <f t="shared" si="100"/>
        <v>34.279999795000002</v>
      </c>
      <c r="T945" s="4">
        <f t="shared" si="101"/>
        <v>0.4</v>
      </c>
      <c r="U945" s="3">
        <f t="shared" si="102"/>
        <v>0.3078041994890881</v>
      </c>
      <c r="V945" s="5">
        <f t="shared" si="103"/>
        <v>0.4585764381274261</v>
      </c>
    </row>
    <row r="946" spans="1:22" x14ac:dyDescent="0.3">
      <c r="A946">
        <v>1122022</v>
      </c>
      <c r="B946" s="1">
        <v>42976</v>
      </c>
      <c r="C946" s="1">
        <v>42976</v>
      </c>
      <c r="D946" s="6" t="s">
        <v>28</v>
      </c>
      <c r="E946" s="6" t="s">
        <v>28</v>
      </c>
      <c r="F946" s="8" t="s">
        <v>24</v>
      </c>
      <c r="G946" s="8" t="s">
        <v>27</v>
      </c>
      <c r="H946" s="8">
        <v>2</v>
      </c>
      <c r="I946" s="8">
        <v>4</v>
      </c>
      <c r="J946" s="8">
        <v>3</v>
      </c>
      <c r="K946" s="8">
        <v>20780</v>
      </c>
      <c r="L946" s="8">
        <v>5</v>
      </c>
      <c r="M946" s="8">
        <v>8.1899999379999997</v>
      </c>
      <c r="N946" s="8">
        <v>1</v>
      </c>
      <c r="O946" s="8">
        <v>0</v>
      </c>
      <c r="P946" s="2">
        <f t="shared" si="98"/>
        <v>2.4061597690086624E-2</v>
      </c>
      <c r="Q946" s="3">
        <f t="shared" si="99"/>
        <v>1.6379999876</v>
      </c>
      <c r="R946" s="4">
        <f t="shared" si="104"/>
        <v>0</v>
      </c>
      <c r="S946" s="3">
        <f t="shared" si="100"/>
        <v>0</v>
      </c>
      <c r="T946" s="4">
        <f t="shared" si="101"/>
        <v>0</v>
      </c>
      <c r="U946" s="3">
        <f t="shared" si="102"/>
        <v>0.39412896717998075</v>
      </c>
      <c r="V946" s="5">
        <f t="shared" si="103"/>
        <v>-1</v>
      </c>
    </row>
    <row r="947" spans="1:22" x14ac:dyDescent="0.3">
      <c r="A947">
        <v>1122027</v>
      </c>
      <c r="B947" s="1">
        <v>42976</v>
      </c>
      <c r="C947" s="1">
        <v>42976</v>
      </c>
      <c r="D947" s="6" t="s">
        <v>28</v>
      </c>
      <c r="E947" s="6" t="s">
        <v>28</v>
      </c>
      <c r="F947" s="7" t="s">
        <v>24</v>
      </c>
      <c r="G947" s="7" t="s">
        <v>27</v>
      </c>
      <c r="H947" s="7">
        <v>7</v>
      </c>
      <c r="I947" s="7">
        <v>9</v>
      </c>
      <c r="J947" s="7">
        <v>8</v>
      </c>
      <c r="K947" s="7">
        <v>128616</v>
      </c>
      <c r="L947" s="7">
        <v>33</v>
      </c>
      <c r="M947" s="7">
        <v>48.549999479999997</v>
      </c>
      <c r="N947" s="7">
        <v>2</v>
      </c>
      <c r="O947" s="7">
        <v>0</v>
      </c>
      <c r="P947" s="2">
        <f t="shared" si="98"/>
        <v>2.5657771972382906E-2</v>
      </c>
      <c r="Q947" s="3">
        <f t="shared" si="99"/>
        <v>1.4712121054545453</v>
      </c>
      <c r="R947" s="4">
        <f t="shared" si="104"/>
        <v>0</v>
      </c>
      <c r="S947" s="3">
        <f t="shared" si="100"/>
        <v>0</v>
      </c>
      <c r="T947" s="4">
        <f t="shared" si="101"/>
        <v>0</v>
      </c>
      <c r="U947" s="3">
        <f t="shared" si="102"/>
        <v>0.3774802472476208</v>
      </c>
      <c r="V947" s="5">
        <f t="shared" si="103"/>
        <v>-1</v>
      </c>
    </row>
    <row r="948" spans="1:22" x14ac:dyDescent="0.3">
      <c r="A948">
        <v>1122039</v>
      </c>
      <c r="B948" s="1">
        <v>42976</v>
      </c>
      <c r="C948" s="1">
        <v>42976</v>
      </c>
      <c r="D948" s="6" t="s">
        <v>28</v>
      </c>
      <c r="E948" s="6" t="s">
        <v>28</v>
      </c>
      <c r="F948" s="8" t="s">
        <v>25</v>
      </c>
      <c r="G948" s="8" t="s">
        <v>27</v>
      </c>
      <c r="H948" s="8">
        <v>10</v>
      </c>
      <c r="I948" s="8">
        <v>12</v>
      </c>
      <c r="J948" s="8">
        <v>15</v>
      </c>
      <c r="K948" s="8">
        <v>258954</v>
      </c>
      <c r="L948" s="8">
        <v>61</v>
      </c>
      <c r="M948" s="8">
        <v>82.279999020000005</v>
      </c>
      <c r="N948" s="8">
        <v>1</v>
      </c>
      <c r="O948" s="8">
        <v>0</v>
      </c>
      <c r="P948" s="2">
        <f t="shared" si="98"/>
        <v>2.3556307297821235E-2</v>
      </c>
      <c r="Q948" s="3">
        <f t="shared" si="99"/>
        <v>1.3488524429508197</v>
      </c>
      <c r="R948" s="4">
        <f t="shared" si="104"/>
        <v>0</v>
      </c>
      <c r="S948" s="3">
        <f t="shared" si="100"/>
        <v>0</v>
      </c>
      <c r="T948" s="4">
        <f t="shared" si="101"/>
        <v>0</v>
      </c>
      <c r="U948" s="3">
        <f t="shared" si="102"/>
        <v>0.31773982645566401</v>
      </c>
      <c r="V948" s="5">
        <f t="shared" si="103"/>
        <v>-1</v>
      </c>
    </row>
    <row r="949" spans="1:22" x14ac:dyDescent="0.3">
      <c r="A949">
        <v>1122040</v>
      </c>
      <c r="B949" s="1">
        <v>42977</v>
      </c>
      <c r="C949" s="1">
        <v>42977</v>
      </c>
      <c r="D949" s="6" t="s">
        <v>28</v>
      </c>
      <c r="E949" s="6" t="s">
        <v>28</v>
      </c>
      <c r="F949" s="7" t="s">
        <v>25</v>
      </c>
      <c r="G949" s="7" t="s">
        <v>27</v>
      </c>
      <c r="H949" s="7">
        <v>10</v>
      </c>
      <c r="I949" s="7">
        <v>15</v>
      </c>
      <c r="J949" s="7">
        <v>11</v>
      </c>
      <c r="K949" s="7">
        <v>205289</v>
      </c>
      <c r="L949" s="7">
        <v>48</v>
      </c>
      <c r="M949" s="7">
        <v>71.530001040000002</v>
      </c>
      <c r="N949" s="7">
        <v>3</v>
      </c>
      <c r="O949" s="7">
        <v>0</v>
      </c>
      <c r="P949" s="2">
        <f t="shared" si="98"/>
        <v>2.3381671692102351E-2</v>
      </c>
      <c r="Q949" s="3">
        <f t="shared" si="99"/>
        <v>1.490208355</v>
      </c>
      <c r="R949" s="4">
        <f t="shared" si="104"/>
        <v>0</v>
      </c>
      <c r="S949" s="3">
        <f t="shared" si="100"/>
        <v>0</v>
      </c>
      <c r="T949" s="4">
        <f t="shared" si="101"/>
        <v>0</v>
      </c>
      <c r="U949" s="3">
        <f t="shared" si="102"/>
        <v>0.34843562509437914</v>
      </c>
      <c r="V949" s="5">
        <f t="shared" si="103"/>
        <v>-1</v>
      </c>
    </row>
    <row r="950" spans="1:22" x14ac:dyDescent="0.3">
      <c r="A950">
        <v>1122041</v>
      </c>
      <c r="B950" s="1">
        <v>42977</v>
      </c>
      <c r="C950" s="1">
        <v>42977</v>
      </c>
      <c r="D950" s="6" t="s">
        <v>28</v>
      </c>
      <c r="E950" s="6" t="s">
        <v>28</v>
      </c>
      <c r="F950" s="8" t="s">
        <v>25</v>
      </c>
      <c r="G950" s="8" t="s">
        <v>27</v>
      </c>
      <c r="H950" s="8">
        <v>10</v>
      </c>
      <c r="I950" s="8">
        <v>13</v>
      </c>
      <c r="J950" s="8">
        <v>12</v>
      </c>
      <c r="K950" s="8">
        <v>611601</v>
      </c>
      <c r="L950" s="8">
        <v>138</v>
      </c>
      <c r="M950" s="8">
        <v>191.419996</v>
      </c>
      <c r="N950" s="8">
        <v>8</v>
      </c>
      <c r="O950" s="8">
        <v>3</v>
      </c>
      <c r="P950" s="2">
        <f t="shared" si="98"/>
        <v>2.2563730275130353E-2</v>
      </c>
      <c r="Q950" s="3">
        <f t="shared" si="99"/>
        <v>1.3871014202898551</v>
      </c>
      <c r="R950" s="4">
        <f t="shared" si="104"/>
        <v>2.1739130434782608E-2</v>
      </c>
      <c r="S950" s="3">
        <f t="shared" si="100"/>
        <v>63.806665333333335</v>
      </c>
      <c r="T950" s="4">
        <f t="shared" si="101"/>
        <v>0.375</v>
      </c>
      <c r="U950" s="3">
        <f t="shared" si="102"/>
        <v>0.31298182311670514</v>
      </c>
      <c r="V950" s="5">
        <f t="shared" si="103"/>
        <v>-0.2163828067366588</v>
      </c>
    </row>
    <row r="951" spans="1:22" x14ac:dyDescent="0.3">
      <c r="A951">
        <v>1122043</v>
      </c>
      <c r="B951" s="1">
        <v>42977</v>
      </c>
      <c r="C951" s="1">
        <v>42977</v>
      </c>
      <c r="D951" s="6" t="s">
        <v>28</v>
      </c>
      <c r="E951" s="6" t="s">
        <v>28</v>
      </c>
      <c r="F951" s="7" t="s">
        <v>25</v>
      </c>
      <c r="G951" s="7" t="s">
        <v>27</v>
      </c>
      <c r="H951" s="7">
        <v>10</v>
      </c>
      <c r="I951" s="7">
        <v>13</v>
      </c>
      <c r="J951" s="7">
        <v>14</v>
      </c>
      <c r="K951" s="7">
        <v>947657</v>
      </c>
      <c r="L951" s="7">
        <v>233</v>
      </c>
      <c r="M951" s="7">
        <v>321.87000039999998</v>
      </c>
      <c r="N951" s="7">
        <v>8</v>
      </c>
      <c r="O951" s="7">
        <v>4</v>
      </c>
      <c r="P951" s="2">
        <f t="shared" si="98"/>
        <v>2.4586954984767696E-2</v>
      </c>
      <c r="Q951" s="3">
        <f t="shared" si="99"/>
        <v>1.3814163107296136</v>
      </c>
      <c r="R951" s="4">
        <f t="shared" si="104"/>
        <v>1.7167381974248927E-2</v>
      </c>
      <c r="S951" s="3">
        <f t="shared" si="100"/>
        <v>80.467500099999995</v>
      </c>
      <c r="T951" s="4">
        <f t="shared" si="101"/>
        <v>0.5</v>
      </c>
      <c r="U951" s="3">
        <f t="shared" si="102"/>
        <v>0.33964820647132876</v>
      </c>
      <c r="V951" s="5">
        <f t="shared" si="103"/>
        <v>-0.37863112513917896</v>
      </c>
    </row>
    <row r="952" spans="1:22" x14ac:dyDescent="0.3">
      <c r="A952">
        <v>1122044</v>
      </c>
      <c r="B952" s="1">
        <v>42976</v>
      </c>
      <c r="C952" s="1">
        <v>42976</v>
      </c>
      <c r="D952" s="6" t="s">
        <v>28</v>
      </c>
      <c r="E952" s="6" t="s">
        <v>28</v>
      </c>
      <c r="F952" s="8" t="s">
        <v>25</v>
      </c>
      <c r="G952" s="8" t="s">
        <v>27</v>
      </c>
      <c r="H952" s="8">
        <v>10</v>
      </c>
      <c r="I952" s="8">
        <v>16</v>
      </c>
      <c r="J952" s="8">
        <v>14</v>
      </c>
      <c r="K952" s="8">
        <v>233043</v>
      </c>
      <c r="L952" s="8">
        <v>49</v>
      </c>
      <c r="M952" s="8">
        <v>65.030000329999993</v>
      </c>
      <c r="N952" s="8">
        <v>2</v>
      </c>
      <c r="O952" s="8">
        <v>0</v>
      </c>
      <c r="P952" s="2">
        <f t="shared" si="98"/>
        <v>2.1026162553691809E-2</v>
      </c>
      <c r="Q952" s="3">
        <f t="shared" si="99"/>
        <v>1.3271428638775509</v>
      </c>
      <c r="R952" s="4">
        <f t="shared" si="104"/>
        <v>0</v>
      </c>
      <c r="S952" s="3">
        <f t="shared" si="100"/>
        <v>0</v>
      </c>
      <c r="T952" s="4">
        <f t="shared" si="101"/>
        <v>0</v>
      </c>
      <c r="U952" s="3">
        <f t="shared" si="102"/>
        <v>0.27904721587861464</v>
      </c>
      <c r="V952" s="5">
        <f t="shared" si="103"/>
        <v>-1</v>
      </c>
    </row>
    <row r="953" spans="1:22" x14ac:dyDescent="0.3">
      <c r="A953">
        <v>1122047</v>
      </c>
      <c r="B953" s="1">
        <v>42964</v>
      </c>
      <c r="C953" s="1">
        <v>42964</v>
      </c>
      <c r="D953" s="6" t="s">
        <v>28</v>
      </c>
      <c r="E953" s="6" t="s">
        <v>28</v>
      </c>
      <c r="F953" s="7" t="s">
        <v>25</v>
      </c>
      <c r="G953" s="7" t="s">
        <v>27</v>
      </c>
      <c r="H953" s="7">
        <v>15</v>
      </c>
      <c r="I953" s="7">
        <v>18</v>
      </c>
      <c r="J953" s="7">
        <v>21</v>
      </c>
      <c r="K953" s="7">
        <v>582725</v>
      </c>
      <c r="L953" s="7">
        <v>142</v>
      </c>
      <c r="M953" s="7">
        <v>194.80999879999999</v>
      </c>
      <c r="N953" s="7">
        <v>9</v>
      </c>
      <c r="O953" s="7">
        <v>2</v>
      </c>
      <c r="P953" s="2">
        <f t="shared" si="98"/>
        <v>2.4368269767042771E-2</v>
      </c>
      <c r="Q953" s="3">
        <f t="shared" si="99"/>
        <v>1.3719013999999998</v>
      </c>
      <c r="R953" s="4">
        <f t="shared" si="104"/>
        <v>1.4084507042253521E-2</v>
      </c>
      <c r="S953" s="3">
        <f t="shared" si="100"/>
        <v>97.404999399999994</v>
      </c>
      <c r="T953" s="4">
        <f t="shared" si="101"/>
        <v>0.22222222222222221</v>
      </c>
      <c r="U953" s="3">
        <f t="shared" si="102"/>
        <v>0.33430863408983652</v>
      </c>
      <c r="V953" s="5">
        <f t="shared" si="103"/>
        <v>-0.48667932541458436</v>
      </c>
    </row>
    <row r="954" spans="1:22" x14ac:dyDescent="0.3">
      <c r="A954">
        <v>1122052</v>
      </c>
      <c r="B954" s="1">
        <v>42964</v>
      </c>
      <c r="C954" s="1">
        <v>42964</v>
      </c>
      <c r="D954" s="6" t="s">
        <v>28</v>
      </c>
      <c r="E954" s="6" t="s">
        <v>28</v>
      </c>
      <c r="F954" s="8" t="s">
        <v>25</v>
      </c>
      <c r="G954" s="8" t="s">
        <v>27</v>
      </c>
      <c r="H954" s="8">
        <v>16</v>
      </c>
      <c r="I954" s="8">
        <v>20</v>
      </c>
      <c r="J954" s="8">
        <v>19</v>
      </c>
      <c r="K954" s="8">
        <v>265038</v>
      </c>
      <c r="L954" s="8">
        <v>51</v>
      </c>
      <c r="M954" s="8">
        <v>78.459999319999994</v>
      </c>
      <c r="N954" s="8">
        <v>2</v>
      </c>
      <c r="O954" s="8">
        <v>1</v>
      </c>
      <c r="P954" s="2">
        <f t="shared" si="98"/>
        <v>1.9242523713580695E-2</v>
      </c>
      <c r="Q954" s="3">
        <f t="shared" si="99"/>
        <v>1.5384313592156862</v>
      </c>
      <c r="R954" s="4">
        <f t="shared" si="104"/>
        <v>1.9607843137254902E-2</v>
      </c>
      <c r="S954" s="3">
        <f t="shared" si="100"/>
        <v>78.459999319999994</v>
      </c>
      <c r="T954" s="4">
        <f t="shared" si="101"/>
        <v>0.5</v>
      </c>
      <c r="U954" s="3">
        <f t="shared" si="102"/>
        <v>0.29603301911424024</v>
      </c>
      <c r="V954" s="5">
        <f t="shared" si="103"/>
        <v>-0.36273259707695849</v>
      </c>
    </row>
    <row r="955" spans="1:22" x14ac:dyDescent="0.3">
      <c r="A955">
        <v>1122054</v>
      </c>
      <c r="B955" s="1">
        <v>42965</v>
      </c>
      <c r="C955" s="1">
        <v>42965</v>
      </c>
      <c r="D955" s="6" t="s">
        <v>28</v>
      </c>
      <c r="E955" s="6" t="s">
        <v>28</v>
      </c>
      <c r="F955" s="7" t="s">
        <v>25</v>
      </c>
      <c r="G955" s="7" t="s">
        <v>27</v>
      </c>
      <c r="H955" s="7">
        <v>16</v>
      </c>
      <c r="I955" s="7">
        <v>20</v>
      </c>
      <c r="J955" s="7">
        <v>18</v>
      </c>
      <c r="K955" s="7">
        <v>222273</v>
      </c>
      <c r="L955" s="7">
        <v>39</v>
      </c>
      <c r="M955" s="7">
        <v>53.62999868</v>
      </c>
      <c r="N955" s="7">
        <v>6</v>
      </c>
      <c r="O955" s="7">
        <v>1</v>
      </c>
      <c r="P955" s="2">
        <f t="shared" si="98"/>
        <v>1.7545990741115652E-2</v>
      </c>
      <c r="Q955" s="3">
        <f t="shared" si="99"/>
        <v>1.3751281712820513</v>
      </c>
      <c r="R955" s="4">
        <f t="shared" si="104"/>
        <v>2.564102564102564E-2</v>
      </c>
      <c r="S955" s="3">
        <f t="shared" si="100"/>
        <v>53.62999868</v>
      </c>
      <c r="T955" s="4">
        <f t="shared" si="101"/>
        <v>0.16666666666666666</v>
      </c>
      <c r="U955" s="3">
        <f t="shared" si="102"/>
        <v>0.24127986161162174</v>
      </c>
      <c r="V955" s="5">
        <f t="shared" si="103"/>
        <v>-6.7685973696540835E-2</v>
      </c>
    </row>
    <row r="956" spans="1:22" x14ac:dyDescent="0.3">
      <c r="A956">
        <v>1122055</v>
      </c>
      <c r="B956" s="1">
        <v>42965</v>
      </c>
      <c r="C956" s="1">
        <v>42965</v>
      </c>
      <c r="D956" s="6" t="s">
        <v>28</v>
      </c>
      <c r="E956" s="6" t="s">
        <v>28</v>
      </c>
      <c r="F956" s="8" t="s">
        <v>25</v>
      </c>
      <c r="G956" s="8" t="s">
        <v>27</v>
      </c>
      <c r="H956" s="8">
        <v>16</v>
      </c>
      <c r="I956" s="8">
        <v>22</v>
      </c>
      <c r="J956" s="8">
        <v>19</v>
      </c>
      <c r="K956" s="8">
        <v>797234</v>
      </c>
      <c r="L956" s="8">
        <v>170</v>
      </c>
      <c r="M956" s="8">
        <v>243.7699978</v>
      </c>
      <c r="N956" s="8">
        <v>4</v>
      </c>
      <c r="O956" s="8">
        <v>1</v>
      </c>
      <c r="P956" s="2">
        <f t="shared" si="98"/>
        <v>2.1323726785360386E-2</v>
      </c>
      <c r="Q956" s="3">
        <f t="shared" si="99"/>
        <v>1.4339411635294117</v>
      </c>
      <c r="R956" s="4">
        <f t="shared" si="104"/>
        <v>5.8823529411764705E-3</v>
      </c>
      <c r="S956" s="3">
        <f t="shared" si="100"/>
        <v>243.7699978</v>
      </c>
      <c r="T956" s="4">
        <f t="shared" si="101"/>
        <v>0.25</v>
      </c>
      <c r="U956" s="3">
        <f t="shared" si="102"/>
        <v>0.30576969597382953</v>
      </c>
      <c r="V956" s="5">
        <f t="shared" si="103"/>
        <v>-0.79488862267200633</v>
      </c>
    </row>
    <row r="957" spans="1:22" x14ac:dyDescent="0.3">
      <c r="A957">
        <v>1122056</v>
      </c>
      <c r="B957" s="1">
        <v>42964</v>
      </c>
      <c r="C957" s="1">
        <v>42964</v>
      </c>
      <c r="D957" s="6" t="s">
        <v>28</v>
      </c>
      <c r="E957" s="6" t="s">
        <v>28</v>
      </c>
      <c r="F957" s="7" t="s">
        <v>25</v>
      </c>
      <c r="G957" s="7" t="s">
        <v>27</v>
      </c>
      <c r="H957" s="7">
        <v>16</v>
      </c>
      <c r="I957" s="7">
        <v>19</v>
      </c>
      <c r="J957" s="7">
        <v>21</v>
      </c>
      <c r="K957" s="7">
        <v>925555</v>
      </c>
      <c r="L957" s="7">
        <v>182</v>
      </c>
      <c r="M957" s="7">
        <v>262.88999810000001</v>
      </c>
      <c r="N957" s="7">
        <v>4</v>
      </c>
      <c r="O957" s="7">
        <v>2</v>
      </c>
      <c r="P957" s="2">
        <f t="shared" si="98"/>
        <v>1.9663877349266116E-2</v>
      </c>
      <c r="Q957" s="3">
        <f t="shared" si="99"/>
        <v>1.4444505390109892</v>
      </c>
      <c r="R957" s="4">
        <f t="shared" si="104"/>
        <v>1.098901098901099E-2</v>
      </c>
      <c r="S957" s="3">
        <f t="shared" si="100"/>
        <v>131.44499905000001</v>
      </c>
      <c r="T957" s="4">
        <f t="shared" si="101"/>
        <v>0.5</v>
      </c>
      <c r="U957" s="3">
        <f t="shared" si="102"/>
        <v>0.2840349823619342</v>
      </c>
      <c r="V957" s="5">
        <f t="shared" si="103"/>
        <v>-0.61961276304638535</v>
      </c>
    </row>
    <row r="958" spans="1:22" x14ac:dyDescent="0.3">
      <c r="A958">
        <v>1122058</v>
      </c>
      <c r="B958" s="1">
        <v>42965</v>
      </c>
      <c r="C958" s="1">
        <v>42965</v>
      </c>
      <c r="D958" s="6" t="s">
        <v>28</v>
      </c>
      <c r="E958" s="6" t="s">
        <v>28</v>
      </c>
      <c r="F958" s="8" t="s">
        <v>25</v>
      </c>
      <c r="G958" s="8" t="s">
        <v>27</v>
      </c>
      <c r="H958" s="8">
        <v>18</v>
      </c>
      <c r="I958" s="8">
        <v>19</v>
      </c>
      <c r="J958" s="8">
        <v>24</v>
      </c>
      <c r="K958" s="8">
        <v>22210</v>
      </c>
      <c r="L958" s="8">
        <v>3</v>
      </c>
      <c r="M958" s="8">
        <v>4.0500001909999996</v>
      </c>
      <c r="N958" s="8">
        <v>1</v>
      </c>
      <c r="O958" s="8">
        <v>1</v>
      </c>
      <c r="P958" s="2">
        <f t="shared" si="98"/>
        <v>1.3507429085997299E-2</v>
      </c>
      <c r="Q958" s="3">
        <f t="shared" si="99"/>
        <v>1.3500000636666665</v>
      </c>
      <c r="R958" s="4">
        <f t="shared" si="104"/>
        <v>0.33333333333333331</v>
      </c>
      <c r="S958" s="3">
        <f t="shared" si="100"/>
        <v>4.0500001909999996</v>
      </c>
      <c r="T958" s="4">
        <f t="shared" si="101"/>
        <v>1</v>
      </c>
      <c r="U958" s="3">
        <f t="shared" si="102"/>
        <v>0.18235030126069335</v>
      </c>
      <c r="V958" s="5">
        <f t="shared" si="103"/>
        <v>11.345678430117388</v>
      </c>
    </row>
    <row r="959" spans="1:22" x14ac:dyDescent="0.3">
      <c r="A959">
        <v>1122075</v>
      </c>
      <c r="B959" s="1">
        <v>42965</v>
      </c>
      <c r="C959" s="1">
        <v>42965</v>
      </c>
      <c r="D959" s="6" t="s">
        <v>28</v>
      </c>
      <c r="E959" s="6" t="s">
        <v>28</v>
      </c>
      <c r="F959" s="7" t="s">
        <v>25</v>
      </c>
      <c r="G959" s="7" t="s">
        <v>27</v>
      </c>
      <c r="H959" s="7">
        <v>21</v>
      </c>
      <c r="I959" s="7">
        <v>25</v>
      </c>
      <c r="J959" s="7">
        <v>23</v>
      </c>
      <c r="K959" s="7">
        <v>46391</v>
      </c>
      <c r="L959" s="7">
        <v>11</v>
      </c>
      <c r="M959" s="7">
        <v>16.409999849999998</v>
      </c>
      <c r="N959" s="7">
        <v>3</v>
      </c>
      <c r="O959" s="7">
        <v>1</v>
      </c>
      <c r="P959" s="2">
        <f t="shared" si="98"/>
        <v>2.3711495764264619E-2</v>
      </c>
      <c r="Q959" s="3">
        <f t="shared" si="99"/>
        <v>1.4918181681818181</v>
      </c>
      <c r="R959" s="4">
        <f t="shared" si="104"/>
        <v>9.0909090909090912E-2</v>
      </c>
      <c r="S959" s="3">
        <f t="shared" si="100"/>
        <v>16.409999849999998</v>
      </c>
      <c r="T959" s="4">
        <f t="shared" si="101"/>
        <v>0.33333333333333331</v>
      </c>
      <c r="U959" s="3">
        <f t="shared" si="102"/>
        <v>0.35373240175896181</v>
      </c>
      <c r="V959" s="5">
        <f t="shared" si="103"/>
        <v>2.0469226360169652</v>
      </c>
    </row>
    <row r="960" spans="1:22" x14ac:dyDescent="0.3">
      <c r="A960">
        <v>1122078</v>
      </c>
      <c r="B960" s="1">
        <v>42965</v>
      </c>
      <c r="C960" s="1">
        <v>42965</v>
      </c>
      <c r="D960" s="6" t="s">
        <v>28</v>
      </c>
      <c r="E960" s="6" t="s">
        <v>28</v>
      </c>
      <c r="F960" s="8" t="s">
        <v>25</v>
      </c>
      <c r="G960" s="8" t="s">
        <v>27</v>
      </c>
      <c r="H960" s="8">
        <v>21</v>
      </c>
      <c r="I960" s="8">
        <v>27</v>
      </c>
      <c r="J960" s="8">
        <v>25</v>
      </c>
      <c r="K960" s="8">
        <v>190477</v>
      </c>
      <c r="L960" s="8">
        <v>42</v>
      </c>
      <c r="M960" s="8">
        <v>66.389999869999997</v>
      </c>
      <c r="N960" s="8">
        <v>1</v>
      </c>
      <c r="O960" s="8">
        <v>0</v>
      </c>
      <c r="P960" s="2">
        <f t="shared" si="98"/>
        <v>2.2049906287898276E-2</v>
      </c>
      <c r="Q960" s="3">
        <f t="shared" si="99"/>
        <v>1.5807142826190475</v>
      </c>
      <c r="R960" s="4">
        <f t="shared" si="104"/>
        <v>0</v>
      </c>
      <c r="S960" s="3">
        <f t="shared" si="100"/>
        <v>0</v>
      </c>
      <c r="T960" s="4">
        <f t="shared" si="101"/>
        <v>0</v>
      </c>
      <c r="U960" s="3">
        <f t="shared" si="102"/>
        <v>0.34854601799692347</v>
      </c>
      <c r="V960" s="5">
        <f t="shared" si="103"/>
        <v>-1</v>
      </c>
    </row>
    <row r="961" spans="1:22" x14ac:dyDescent="0.3">
      <c r="A961">
        <v>1122079</v>
      </c>
      <c r="B961" s="1">
        <v>42965</v>
      </c>
      <c r="C961" s="1">
        <v>42965</v>
      </c>
      <c r="D961" s="6" t="s">
        <v>28</v>
      </c>
      <c r="E961" s="6" t="s">
        <v>28</v>
      </c>
      <c r="F961" s="7" t="s">
        <v>25</v>
      </c>
      <c r="G961" s="7" t="s">
        <v>27</v>
      </c>
      <c r="H961" s="7">
        <v>21</v>
      </c>
      <c r="I961" s="7">
        <v>24</v>
      </c>
      <c r="J961" s="7">
        <v>27</v>
      </c>
      <c r="K961" s="7">
        <v>25382</v>
      </c>
      <c r="L961" s="7">
        <v>7</v>
      </c>
      <c r="M961" s="7">
        <v>9.6099998949999996</v>
      </c>
      <c r="N961" s="7">
        <v>1</v>
      </c>
      <c r="O961" s="7">
        <v>0</v>
      </c>
      <c r="P961" s="2">
        <f t="shared" si="98"/>
        <v>2.7578599007170437E-2</v>
      </c>
      <c r="Q961" s="3">
        <f t="shared" si="99"/>
        <v>1.3728571278571429</v>
      </c>
      <c r="R961" s="4">
        <f t="shared" si="104"/>
        <v>0</v>
      </c>
      <c r="S961" s="3">
        <f t="shared" si="100"/>
        <v>0</v>
      </c>
      <c r="T961" s="4">
        <f t="shared" si="101"/>
        <v>0</v>
      </c>
      <c r="U961" s="3">
        <f t="shared" si="102"/>
        <v>0.37861476223307855</v>
      </c>
      <c r="V961" s="5">
        <f t="shared" si="103"/>
        <v>-1</v>
      </c>
    </row>
    <row r="962" spans="1:22" x14ac:dyDescent="0.3">
      <c r="A962">
        <v>1122085</v>
      </c>
      <c r="B962" s="1">
        <v>42965</v>
      </c>
      <c r="C962" s="1">
        <v>42965</v>
      </c>
      <c r="D962" s="6" t="s">
        <v>28</v>
      </c>
      <c r="E962" s="6" t="s">
        <v>28</v>
      </c>
      <c r="F962" s="8" t="s">
        <v>25</v>
      </c>
      <c r="G962" s="8" t="s">
        <v>27</v>
      </c>
      <c r="H962" s="8">
        <v>22</v>
      </c>
      <c r="I962" s="8">
        <v>26</v>
      </c>
      <c r="J962" s="8">
        <v>25</v>
      </c>
      <c r="K962" s="8">
        <v>65726</v>
      </c>
      <c r="L962" s="8">
        <v>17</v>
      </c>
      <c r="M962" s="8">
        <v>22.12000012</v>
      </c>
      <c r="N962" s="8">
        <v>2</v>
      </c>
      <c r="O962" s="8">
        <v>0</v>
      </c>
      <c r="P962" s="2">
        <f t="shared" ref="P962:P1025" si="105">IF(K962&gt;0, (L962/K962)*100, 0)</f>
        <v>2.5864954508109425E-2</v>
      </c>
      <c r="Q962" s="3">
        <f t="shared" ref="Q962:Q1025" si="106">IF(L962&gt;0, M962/L962, 0)</f>
        <v>1.3011764776470589</v>
      </c>
      <c r="R962" s="4">
        <f t="shared" si="104"/>
        <v>0</v>
      </c>
      <c r="S962" s="3">
        <f t="shared" ref="S962:S1025" si="107">IF(O962&gt;0, M962/O962, 0)</f>
        <v>0</v>
      </c>
      <c r="T962" s="4">
        <f t="shared" ref="T962:T1025" si="108">IF(N962&gt;0, O962/N962, 0)</f>
        <v>0</v>
      </c>
      <c r="U962" s="3">
        <f t="shared" ref="U962:U1025" si="109">IF(K962&gt;0, (M962/K962)*1000, 0)</f>
        <v>0.33654870401363235</v>
      </c>
      <c r="V962" s="5">
        <f t="shared" ref="V962:V1025" si="110">IF(M962&gt;0, ((O962*50)-M962)/M962, 0)</f>
        <v>-1</v>
      </c>
    </row>
    <row r="963" spans="1:22" x14ac:dyDescent="0.3">
      <c r="A963">
        <v>1122089</v>
      </c>
      <c r="B963" s="1">
        <v>42964</v>
      </c>
      <c r="C963" s="1">
        <v>42964</v>
      </c>
      <c r="D963" s="6" t="s">
        <v>28</v>
      </c>
      <c r="E963" s="6" t="s">
        <v>28</v>
      </c>
      <c r="F963" s="7" t="s">
        <v>25</v>
      </c>
      <c r="G963" s="7" t="s">
        <v>27</v>
      </c>
      <c r="H963" s="7">
        <v>23</v>
      </c>
      <c r="I963" s="7">
        <v>25</v>
      </c>
      <c r="J963" s="7">
        <v>29</v>
      </c>
      <c r="K963" s="7">
        <v>195220</v>
      </c>
      <c r="L963" s="7">
        <v>51</v>
      </c>
      <c r="M963" s="7">
        <v>78.060000419999994</v>
      </c>
      <c r="N963" s="7">
        <v>1</v>
      </c>
      <c r="O963" s="7">
        <v>0</v>
      </c>
      <c r="P963" s="2">
        <f t="shared" si="105"/>
        <v>2.6124372502817333E-2</v>
      </c>
      <c r="Q963" s="3">
        <f t="shared" si="106"/>
        <v>1.5305882435294116</v>
      </c>
      <c r="R963" s="4">
        <f t="shared" ref="R963:R1026" si="111">IF(L963&gt;0, O963/L963, 0)</f>
        <v>0</v>
      </c>
      <c r="S963" s="3">
        <f t="shared" si="107"/>
        <v>0</v>
      </c>
      <c r="T963" s="4">
        <f t="shared" si="108"/>
        <v>0</v>
      </c>
      <c r="U963" s="3">
        <f t="shared" si="109"/>
        <v>0.39985657422395243</v>
      </c>
      <c r="V963" s="5">
        <f t="shared" si="110"/>
        <v>-1</v>
      </c>
    </row>
    <row r="964" spans="1:22" x14ac:dyDescent="0.3">
      <c r="A964">
        <v>1122092</v>
      </c>
      <c r="B964" s="1">
        <v>42964</v>
      </c>
      <c r="C964" s="1">
        <v>42964</v>
      </c>
      <c r="D964" s="6" t="s">
        <v>28</v>
      </c>
      <c r="E964" s="6" t="s">
        <v>28</v>
      </c>
      <c r="F964" s="8" t="s">
        <v>25</v>
      </c>
      <c r="G964" s="8" t="s">
        <v>27</v>
      </c>
      <c r="H964" s="8">
        <v>23</v>
      </c>
      <c r="I964" s="8">
        <v>25</v>
      </c>
      <c r="J964" s="8">
        <v>26</v>
      </c>
      <c r="K964" s="8">
        <v>107501</v>
      </c>
      <c r="L964" s="8">
        <v>27</v>
      </c>
      <c r="M964" s="8">
        <v>40.87999928</v>
      </c>
      <c r="N964" s="8">
        <v>2</v>
      </c>
      <c r="O964" s="8">
        <v>2</v>
      </c>
      <c r="P964" s="2">
        <f t="shared" si="105"/>
        <v>2.5116045432135518E-2</v>
      </c>
      <c r="Q964" s="3">
        <f t="shared" si="106"/>
        <v>1.5140740474074075</v>
      </c>
      <c r="R964" s="4">
        <f t="shared" si="111"/>
        <v>7.407407407407407E-2</v>
      </c>
      <c r="S964" s="3">
        <f t="shared" si="107"/>
        <v>20.43999964</v>
      </c>
      <c r="T964" s="4">
        <f t="shared" si="108"/>
        <v>1</v>
      </c>
      <c r="U964" s="3">
        <f t="shared" si="109"/>
        <v>0.38027552562301747</v>
      </c>
      <c r="V964" s="5">
        <f t="shared" si="110"/>
        <v>1.4461839961167435</v>
      </c>
    </row>
    <row r="965" spans="1:22" x14ac:dyDescent="0.3">
      <c r="A965">
        <v>1122101</v>
      </c>
      <c r="B965" s="1">
        <v>42964</v>
      </c>
      <c r="C965" s="1">
        <v>42964</v>
      </c>
      <c r="D965" s="6" t="s">
        <v>28</v>
      </c>
      <c r="E965" s="6" t="s">
        <v>28</v>
      </c>
      <c r="F965" s="7" t="s">
        <v>25</v>
      </c>
      <c r="G965" s="7" t="s">
        <v>27</v>
      </c>
      <c r="H965" s="7">
        <v>25</v>
      </c>
      <c r="I965" s="7">
        <v>26</v>
      </c>
      <c r="J965" s="7">
        <v>30</v>
      </c>
      <c r="K965" s="7">
        <v>197772</v>
      </c>
      <c r="L965" s="7">
        <v>63</v>
      </c>
      <c r="M965" s="7">
        <v>88.210000160000007</v>
      </c>
      <c r="N965" s="7">
        <v>7</v>
      </c>
      <c r="O965" s="7">
        <v>2</v>
      </c>
      <c r="P965" s="2">
        <f t="shared" si="105"/>
        <v>3.1854863175778174E-2</v>
      </c>
      <c r="Q965" s="3">
        <f t="shared" si="106"/>
        <v>1.4001587326984128</v>
      </c>
      <c r="R965" s="4">
        <f t="shared" si="111"/>
        <v>3.1746031746031744E-2</v>
      </c>
      <c r="S965" s="3">
        <f t="shared" si="107"/>
        <v>44.105000080000003</v>
      </c>
      <c r="T965" s="4">
        <f t="shared" si="108"/>
        <v>0.2857142857142857</v>
      </c>
      <c r="U965" s="3">
        <f t="shared" si="109"/>
        <v>0.44601864854478901</v>
      </c>
      <c r="V965" s="5">
        <f t="shared" si="110"/>
        <v>0.13365831332745337</v>
      </c>
    </row>
    <row r="966" spans="1:22" x14ac:dyDescent="0.3">
      <c r="A966">
        <v>1122102</v>
      </c>
      <c r="B966" s="1">
        <v>42964</v>
      </c>
      <c r="C966" s="1">
        <v>42964</v>
      </c>
      <c r="D966" s="6" t="s">
        <v>28</v>
      </c>
      <c r="E966" s="6" t="s">
        <v>28</v>
      </c>
      <c r="F966" s="8" t="s">
        <v>25</v>
      </c>
      <c r="G966" s="8" t="s">
        <v>27</v>
      </c>
      <c r="H966" s="8">
        <v>25</v>
      </c>
      <c r="I966" s="8">
        <v>30</v>
      </c>
      <c r="J966" s="8">
        <v>29</v>
      </c>
      <c r="K966" s="8">
        <v>138154</v>
      </c>
      <c r="L966" s="8">
        <v>35</v>
      </c>
      <c r="M966" s="8">
        <v>48.939998629999998</v>
      </c>
      <c r="N966" s="8">
        <v>1</v>
      </c>
      <c r="O966" s="8">
        <v>0</v>
      </c>
      <c r="P966" s="2">
        <f t="shared" si="105"/>
        <v>2.5334047512196534E-2</v>
      </c>
      <c r="Q966" s="3">
        <f t="shared" si="106"/>
        <v>1.3982856751428572</v>
      </c>
      <c r="R966" s="4">
        <f t="shared" si="111"/>
        <v>0</v>
      </c>
      <c r="S966" s="3">
        <f t="shared" si="107"/>
        <v>0</v>
      </c>
      <c r="T966" s="4">
        <f t="shared" si="108"/>
        <v>0</v>
      </c>
      <c r="U966" s="3">
        <f t="shared" si="109"/>
        <v>0.35424235729692949</v>
      </c>
      <c r="V966" s="5">
        <f t="shared" si="110"/>
        <v>-1</v>
      </c>
    </row>
    <row r="967" spans="1:22" x14ac:dyDescent="0.3">
      <c r="A967">
        <v>1122103</v>
      </c>
      <c r="B967" s="1">
        <v>42964</v>
      </c>
      <c r="C967" s="1">
        <v>42964</v>
      </c>
      <c r="D967" s="6" t="s">
        <v>28</v>
      </c>
      <c r="E967" s="6" t="s">
        <v>28</v>
      </c>
      <c r="F967" s="7" t="s">
        <v>25</v>
      </c>
      <c r="G967" s="7" t="s">
        <v>27</v>
      </c>
      <c r="H967" s="7">
        <v>25</v>
      </c>
      <c r="I967" s="7">
        <v>26</v>
      </c>
      <c r="J967" s="7">
        <v>30</v>
      </c>
      <c r="K967" s="7">
        <v>270124</v>
      </c>
      <c r="L967" s="7">
        <v>69</v>
      </c>
      <c r="M967" s="7">
        <v>95.84999895</v>
      </c>
      <c r="N967" s="7">
        <v>2</v>
      </c>
      <c r="O967" s="7">
        <v>0</v>
      </c>
      <c r="P967" s="2">
        <f t="shared" si="105"/>
        <v>2.5543824317720752E-2</v>
      </c>
      <c r="Q967" s="3">
        <f t="shared" si="106"/>
        <v>1.3891304195652174</v>
      </c>
      <c r="R967" s="4">
        <f t="shared" si="111"/>
        <v>0</v>
      </c>
      <c r="S967" s="3">
        <f t="shared" si="107"/>
        <v>0</v>
      </c>
      <c r="T967" s="4">
        <f t="shared" si="108"/>
        <v>0</v>
      </c>
      <c r="U967" s="3">
        <f t="shared" si="109"/>
        <v>0.35483703391775628</v>
      </c>
      <c r="V967" s="5">
        <f t="shared" si="110"/>
        <v>-1</v>
      </c>
    </row>
    <row r="968" spans="1:22" x14ac:dyDescent="0.3">
      <c r="A968">
        <v>1122105</v>
      </c>
      <c r="B968" s="1">
        <v>42964</v>
      </c>
      <c r="C968" s="1">
        <v>42964</v>
      </c>
      <c r="D968" s="6" t="s">
        <v>28</v>
      </c>
      <c r="E968" s="6" t="s">
        <v>28</v>
      </c>
      <c r="F968" s="8" t="s">
        <v>25</v>
      </c>
      <c r="G968" s="8" t="s">
        <v>27</v>
      </c>
      <c r="H968" s="8">
        <v>26</v>
      </c>
      <c r="I968" s="8">
        <v>28</v>
      </c>
      <c r="J968" s="8">
        <v>27</v>
      </c>
      <c r="K968" s="8">
        <v>303971</v>
      </c>
      <c r="L968" s="8">
        <v>77</v>
      </c>
      <c r="M968" s="8">
        <v>106.9299998</v>
      </c>
      <c r="N968" s="8">
        <v>11</v>
      </c>
      <c r="O968" s="8">
        <v>6</v>
      </c>
      <c r="P968" s="2">
        <f t="shared" si="105"/>
        <v>2.5331363847209108E-2</v>
      </c>
      <c r="Q968" s="3">
        <f t="shared" si="106"/>
        <v>1.3887012961038963</v>
      </c>
      <c r="R968" s="4">
        <f t="shared" si="111"/>
        <v>7.792207792207792E-2</v>
      </c>
      <c r="S968" s="3">
        <f t="shared" si="107"/>
        <v>17.821666633333333</v>
      </c>
      <c r="T968" s="4">
        <f t="shared" si="108"/>
        <v>0.54545454545454541</v>
      </c>
      <c r="U968" s="3">
        <f t="shared" si="109"/>
        <v>0.35177697806698666</v>
      </c>
      <c r="V968" s="5">
        <f t="shared" si="110"/>
        <v>1.8055737450772908</v>
      </c>
    </row>
    <row r="969" spans="1:22" x14ac:dyDescent="0.3">
      <c r="A969">
        <v>1122107</v>
      </c>
      <c r="B969" s="1">
        <v>42964</v>
      </c>
      <c r="C969" s="1">
        <v>42964</v>
      </c>
      <c r="D969" s="6" t="s">
        <v>28</v>
      </c>
      <c r="E969" s="6" t="s">
        <v>28</v>
      </c>
      <c r="F969" s="7" t="s">
        <v>25</v>
      </c>
      <c r="G969" s="7" t="s">
        <v>27</v>
      </c>
      <c r="H969" s="7">
        <v>26</v>
      </c>
      <c r="I969" s="7">
        <v>30</v>
      </c>
      <c r="J969" s="7">
        <v>29</v>
      </c>
      <c r="K969" s="7">
        <v>682046</v>
      </c>
      <c r="L969" s="7">
        <v>183</v>
      </c>
      <c r="M969" s="7">
        <v>254.419997</v>
      </c>
      <c r="N969" s="7">
        <v>4</v>
      </c>
      <c r="O969" s="7">
        <v>2</v>
      </c>
      <c r="P969" s="2">
        <f t="shared" si="105"/>
        <v>2.6831034856886486E-2</v>
      </c>
      <c r="Q969" s="3">
        <f t="shared" si="106"/>
        <v>1.3902732076502733</v>
      </c>
      <c r="R969" s="4">
        <f t="shared" si="111"/>
        <v>1.092896174863388E-2</v>
      </c>
      <c r="S969" s="3">
        <f t="shared" si="107"/>
        <v>127.2099985</v>
      </c>
      <c r="T969" s="4">
        <f t="shared" si="108"/>
        <v>0.5</v>
      </c>
      <c r="U969" s="3">
        <f t="shared" si="109"/>
        <v>0.37302468895059865</v>
      </c>
      <c r="V969" s="5">
        <f t="shared" si="110"/>
        <v>-0.6069491345839455</v>
      </c>
    </row>
    <row r="970" spans="1:22" x14ac:dyDescent="0.3">
      <c r="A970">
        <v>1122109</v>
      </c>
      <c r="B970" s="1">
        <v>42964</v>
      </c>
      <c r="C970" s="1">
        <v>42964</v>
      </c>
      <c r="D970" s="6" t="s">
        <v>28</v>
      </c>
      <c r="E970" s="6" t="s">
        <v>28</v>
      </c>
      <c r="F970" s="8" t="s">
        <v>25</v>
      </c>
      <c r="G970" s="8" t="s">
        <v>27</v>
      </c>
      <c r="H970" s="8">
        <v>26</v>
      </c>
      <c r="I970" s="8">
        <v>27</v>
      </c>
      <c r="J970" s="8">
        <v>28</v>
      </c>
      <c r="K970" s="8">
        <v>328365</v>
      </c>
      <c r="L970" s="8">
        <v>83</v>
      </c>
      <c r="M970" s="8">
        <v>117.3400005</v>
      </c>
      <c r="N970" s="8">
        <v>2</v>
      </c>
      <c r="O970" s="8">
        <v>1</v>
      </c>
      <c r="P970" s="2">
        <f t="shared" si="105"/>
        <v>2.5276749958125868E-2</v>
      </c>
      <c r="Q970" s="3">
        <f t="shared" si="106"/>
        <v>1.4137349457831325</v>
      </c>
      <c r="R970" s="4">
        <f t="shared" si="111"/>
        <v>1.2048192771084338E-2</v>
      </c>
      <c r="S970" s="3">
        <f t="shared" si="107"/>
        <v>117.3400005</v>
      </c>
      <c r="T970" s="4">
        <f t="shared" si="108"/>
        <v>0.5</v>
      </c>
      <c r="U970" s="3">
        <f t="shared" si="109"/>
        <v>0.3573462473162487</v>
      </c>
      <c r="V970" s="5">
        <f t="shared" si="110"/>
        <v>-0.5738878490971201</v>
      </c>
    </row>
    <row r="971" spans="1:22" x14ac:dyDescent="0.3">
      <c r="A971">
        <v>1122112</v>
      </c>
      <c r="B971" s="1">
        <v>42964</v>
      </c>
      <c r="C971" s="1">
        <v>42964</v>
      </c>
      <c r="D971" s="6" t="s">
        <v>28</v>
      </c>
      <c r="E971" s="6" t="s">
        <v>28</v>
      </c>
      <c r="F971" s="7" t="s">
        <v>25</v>
      </c>
      <c r="G971" s="7" t="s">
        <v>27</v>
      </c>
      <c r="H971" s="7">
        <v>27</v>
      </c>
      <c r="I971" s="7">
        <v>31</v>
      </c>
      <c r="J971" s="7">
        <v>33</v>
      </c>
      <c r="K971" s="7">
        <v>1083259</v>
      </c>
      <c r="L971" s="7">
        <v>276</v>
      </c>
      <c r="M971" s="7">
        <v>390.25999919999998</v>
      </c>
      <c r="N971" s="7">
        <v>11</v>
      </c>
      <c r="O971" s="7">
        <v>0</v>
      </c>
      <c r="P971" s="2">
        <f t="shared" si="105"/>
        <v>2.5478671305754211E-2</v>
      </c>
      <c r="Q971" s="3">
        <f t="shared" si="106"/>
        <v>1.413985504347826</v>
      </c>
      <c r="R971" s="4">
        <f t="shared" si="111"/>
        <v>0</v>
      </c>
      <c r="S971" s="3">
        <f t="shared" si="107"/>
        <v>0</v>
      </c>
      <c r="T971" s="4">
        <f t="shared" si="108"/>
        <v>0</v>
      </c>
      <c r="U971" s="3">
        <f t="shared" si="109"/>
        <v>0.36026471896379353</v>
      </c>
      <c r="V971" s="5">
        <f t="shared" si="110"/>
        <v>-1</v>
      </c>
    </row>
    <row r="972" spans="1:22" x14ac:dyDescent="0.3">
      <c r="A972">
        <v>1122113</v>
      </c>
      <c r="B972" s="1">
        <v>42964</v>
      </c>
      <c r="C972" s="1">
        <v>42964</v>
      </c>
      <c r="D972" s="6" t="s">
        <v>28</v>
      </c>
      <c r="E972" s="6" t="s">
        <v>28</v>
      </c>
      <c r="F972" s="8" t="s">
        <v>25</v>
      </c>
      <c r="G972" s="8" t="s">
        <v>27</v>
      </c>
      <c r="H972" s="8">
        <v>27</v>
      </c>
      <c r="I972" s="8">
        <v>33</v>
      </c>
      <c r="J972" s="8">
        <v>28</v>
      </c>
      <c r="K972" s="8">
        <v>913929</v>
      </c>
      <c r="L972" s="8">
        <v>245</v>
      </c>
      <c r="M972" s="8">
        <v>340.40999929999998</v>
      </c>
      <c r="N972" s="8">
        <v>7</v>
      </c>
      <c r="O972" s="8">
        <v>2</v>
      </c>
      <c r="P972" s="2">
        <f t="shared" si="105"/>
        <v>2.6807334048925026E-2</v>
      </c>
      <c r="Q972" s="3">
        <f t="shared" si="106"/>
        <v>1.3894285685714285</v>
      </c>
      <c r="R972" s="4">
        <f t="shared" si="111"/>
        <v>8.1632653061224497E-3</v>
      </c>
      <c r="S972" s="3">
        <f t="shared" si="107"/>
        <v>170.20499964999999</v>
      </c>
      <c r="T972" s="4">
        <f t="shared" si="108"/>
        <v>0.2857142857142857</v>
      </c>
      <c r="U972" s="3">
        <f t="shared" si="109"/>
        <v>0.37246875774814014</v>
      </c>
      <c r="V972" s="5">
        <f t="shared" si="110"/>
        <v>-0.70623659644066161</v>
      </c>
    </row>
    <row r="973" spans="1:22" x14ac:dyDescent="0.3">
      <c r="A973">
        <v>1122118</v>
      </c>
      <c r="B973" s="1">
        <v>42964</v>
      </c>
      <c r="C973" s="1">
        <v>42964</v>
      </c>
      <c r="D973" s="6" t="s">
        <v>28</v>
      </c>
      <c r="E973" s="6" t="s">
        <v>28</v>
      </c>
      <c r="F973" s="7" t="s">
        <v>25</v>
      </c>
      <c r="G973" s="7" t="s">
        <v>27</v>
      </c>
      <c r="H973" s="7">
        <v>28</v>
      </c>
      <c r="I973" s="7">
        <v>31</v>
      </c>
      <c r="J973" s="7">
        <v>33</v>
      </c>
      <c r="K973" s="7">
        <v>101586</v>
      </c>
      <c r="L973" s="7">
        <v>24</v>
      </c>
      <c r="M973" s="7">
        <v>33.470000390000003</v>
      </c>
      <c r="N973" s="7">
        <v>2</v>
      </c>
      <c r="O973" s="7">
        <v>1</v>
      </c>
      <c r="P973" s="2">
        <f t="shared" si="105"/>
        <v>2.3625302699190835E-2</v>
      </c>
      <c r="Q973" s="3">
        <f t="shared" si="106"/>
        <v>1.3945833495833335</v>
      </c>
      <c r="R973" s="4">
        <f t="shared" si="111"/>
        <v>4.1666666666666664E-2</v>
      </c>
      <c r="S973" s="3">
        <f t="shared" si="107"/>
        <v>33.470000390000003</v>
      </c>
      <c r="T973" s="4">
        <f t="shared" si="108"/>
        <v>0.5</v>
      </c>
      <c r="U973" s="3">
        <f t="shared" si="109"/>
        <v>0.3294745377315772</v>
      </c>
      <c r="V973" s="5">
        <f t="shared" si="110"/>
        <v>0.49387509463366325</v>
      </c>
    </row>
    <row r="974" spans="1:22" x14ac:dyDescent="0.3">
      <c r="A974">
        <v>1122120</v>
      </c>
      <c r="B974" s="1">
        <v>42976</v>
      </c>
      <c r="C974" s="1">
        <v>42976</v>
      </c>
      <c r="D974" s="6" t="s">
        <v>28</v>
      </c>
      <c r="E974" s="6" t="s">
        <v>28</v>
      </c>
      <c r="F974" s="8" t="s">
        <v>25</v>
      </c>
      <c r="G974" s="8" t="s">
        <v>27</v>
      </c>
      <c r="H974" s="8">
        <v>28</v>
      </c>
      <c r="I974" s="8">
        <v>30</v>
      </c>
      <c r="J974" s="8">
        <v>32</v>
      </c>
      <c r="K974" s="8">
        <v>181053</v>
      </c>
      <c r="L974" s="8">
        <v>46</v>
      </c>
      <c r="M974" s="8">
        <v>66.279999849999996</v>
      </c>
      <c r="N974" s="8">
        <v>3</v>
      </c>
      <c r="O974" s="8">
        <v>1</v>
      </c>
      <c r="P974" s="2">
        <f t="shared" si="105"/>
        <v>2.5406925044047873E-2</v>
      </c>
      <c r="Q974" s="3">
        <f t="shared" si="106"/>
        <v>1.4408695619565217</v>
      </c>
      <c r="R974" s="4">
        <f t="shared" si="111"/>
        <v>2.1739130434782608E-2</v>
      </c>
      <c r="S974" s="3">
        <f t="shared" si="107"/>
        <v>66.279999849999996</v>
      </c>
      <c r="T974" s="4">
        <f t="shared" si="108"/>
        <v>0.33333333333333331</v>
      </c>
      <c r="U974" s="3">
        <f t="shared" si="109"/>
        <v>0.36608064958879438</v>
      </c>
      <c r="V974" s="5">
        <f t="shared" si="110"/>
        <v>-0.24562462110506472</v>
      </c>
    </row>
    <row r="975" spans="1:22" x14ac:dyDescent="0.3">
      <c r="A975">
        <v>1122121</v>
      </c>
      <c r="B975" s="1">
        <v>42976</v>
      </c>
      <c r="C975" s="1">
        <v>42976</v>
      </c>
      <c r="D975" s="6" t="s">
        <v>28</v>
      </c>
      <c r="E975" s="6" t="s">
        <v>28</v>
      </c>
      <c r="F975" s="7" t="s">
        <v>25</v>
      </c>
      <c r="G975" s="7" t="s">
        <v>27</v>
      </c>
      <c r="H975" s="7">
        <v>28</v>
      </c>
      <c r="I975" s="7">
        <v>30</v>
      </c>
      <c r="J975" s="7">
        <v>34</v>
      </c>
      <c r="K975" s="7">
        <v>133419</v>
      </c>
      <c r="L975" s="7">
        <v>35</v>
      </c>
      <c r="M975" s="7">
        <v>48.180000069999998</v>
      </c>
      <c r="N975" s="7">
        <v>2</v>
      </c>
      <c r="O975" s="7">
        <v>1</v>
      </c>
      <c r="P975" s="2">
        <f t="shared" si="105"/>
        <v>2.6233145204206301E-2</v>
      </c>
      <c r="Q975" s="3">
        <f t="shared" si="106"/>
        <v>1.3765714305714285</v>
      </c>
      <c r="R975" s="4">
        <f t="shared" si="111"/>
        <v>2.8571428571428571E-2</v>
      </c>
      <c r="S975" s="3">
        <f t="shared" si="107"/>
        <v>48.180000069999998</v>
      </c>
      <c r="T975" s="4">
        <f t="shared" si="108"/>
        <v>0.5</v>
      </c>
      <c r="U975" s="3">
        <f t="shared" si="109"/>
        <v>0.36111798222142272</v>
      </c>
      <c r="V975" s="5">
        <f t="shared" si="110"/>
        <v>3.7775008869982377E-2</v>
      </c>
    </row>
    <row r="976" spans="1:22" x14ac:dyDescent="0.3">
      <c r="A976">
        <v>1122125</v>
      </c>
      <c r="B976" s="1">
        <v>42973</v>
      </c>
      <c r="C976" s="1">
        <v>42973</v>
      </c>
      <c r="D976" s="6" t="s">
        <v>28</v>
      </c>
      <c r="E976" s="6" t="s">
        <v>28</v>
      </c>
      <c r="F976" s="8" t="s">
        <v>25</v>
      </c>
      <c r="G976" s="8" t="s">
        <v>27</v>
      </c>
      <c r="H976" s="8">
        <v>29</v>
      </c>
      <c r="I976" s="8">
        <v>34</v>
      </c>
      <c r="J976" s="8">
        <v>32</v>
      </c>
      <c r="K976" s="8">
        <v>489573</v>
      </c>
      <c r="L976" s="8">
        <v>113</v>
      </c>
      <c r="M976" s="8">
        <v>156.11999929999999</v>
      </c>
      <c r="N976" s="8">
        <v>3</v>
      </c>
      <c r="O976" s="8">
        <v>2</v>
      </c>
      <c r="P976" s="2">
        <f t="shared" si="105"/>
        <v>2.3081338227394076E-2</v>
      </c>
      <c r="Q976" s="3">
        <f t="shared" si="106"/>
        <v>1.381592914159292</v>
      </c>
      <c r="R976" s="4">
        <f t="shared" si="111"/>
        <v>1.7699115044247787E-2</v>
      </c>
      <c r="S976" s="3">
        <f t="shared" si="107"/>
        <v>78.059999649999995</v>
      </c>
      <c r="T976" s="4">
        <f t="shared" si="108"/>
        <v>0.66666666666666663</v>
      </c>
      <c r="U976" s="3">
        <f t="shared" si="109"/>
        <v>0.31889013344281647</v>
      </c>
      <c r="V976" s="5">
        <f t="shared" si="110"/>
        <v>-0.35946707373576059</v>
      </c>
    </row>
    <row r="977" spans="1:22" x14ac:dyDescent="0.3">
      <c r="A977">
        <v>1122127</v>
      </c>
      <c r="B977" s="1">
        <v>42973</v>
      </c>
      <c r="C977" s="1">
        <v>42973</v>
      </c>
      <c r="D977" s="6" t="s">
        <v>28</v>
      </c>
      <c r="E977" s="6" t="s">
        <v>28</v>
      </c>
      <c r="F977" s="7" t="s">
        <v>25</v>
      </c>
      <c r="G977" s="7" t="s">
        <v>27</v>
      </c>
      <c r="H977" s="7">
        <v>29</v>
      </c>
      <c r="I977" s="7">
        <v>32</v>
      </c>
      <c r="J977" s="7">
        <v>31</v>
      </c>
      <c r="K977" s="7">
        <v>822023</v>
      </c>
      <c r="L977" s="7">
        <v>194</v>
      </c>
      <c r="M977" s="7">
        <v>288.33000349999998</v>
      </c>
      <c r="N977" s="7">
        <v>6</v>
      </c>
      <c r="O977" s="7">
        <v>0</v>
      </c>
      <c r="P977" s="2">
        <f t="shared" si="105"/>
        <v>2.3600312886622392E-2</v>
      </c>
      <c r="Q977" s="3">
        <f t="shared" si="106"/>
        <v>1.4862371314432989</v>
      </c>
      <c r="R977" s="4">
        <f t="shared" si="111"/>
        <v>0</v>
      </c>
      <c r="S977" s="3">
        <f t="shared" si="107"/>
        <v>0</v>
      </c>
      <c r="T977" s="4">
        <f t="shared" si="108"/>
        <v>0</v>
      </c>
      <c r="U977" s="3">
        <f t="shared" si="109"/>
        <v>0.35075661325777985</v>
      </c>
      <c r="V977" s="5">
        <f t="shared" si="110"/>
        <v>-1</v>
      </c>
    </row>
    <row r="978" spans="1:22" x14ac:dyDescent="0.3">
      <c r="A978">
        <v>1122131</v>
      </c>
      <c r="B978" s="1">
        <v>42973</v>
      </c>
      <c r="C978" s="1">
        <v>42973</v>
      </c>
      <c r="D978" s="6" t="s">
        <v>28</v>
      </c>
      <c r="E978" s="6" t="s">
        <v>28</v>
      </c>
      <c r="F978" s="8" t="s">
        <v>25</v>
      </c>
      <c r="G978" s="8" t="s">
        <v>27</v>
      </c>
      <c r="H978" s="8">
        <v>30</v>
      </c>
      <c r="I978" s="8">
        <v>32</v>
      </c>
      <c r="J978" s="8">
        <v>35</v>
      </c>
      <c r="K978" s="8">
        <v>93176</v>
      </c>
      <c r="L978" s="8">
        <v>29</v>
      </c>
      <c r="M978" s="8">
        <v>40.370000240000003</v>
      </c>
      <c r="N978" s="8">
        <v>1</v>
      </c>
      <c r="O978" s="8">
        <v>1</v>
      </c>
      <c r="P978" s="2">
        <f t="shared" si="105"/>
        <v>3.1123894565124068E-2</v>
      </c>
      <c r="Q978" s="3">
        <f t="shared" si="106"/>
        <v>1.3920689737931036</v>
      </c>
      <c r="R978" s="4">
        <f t="shared" si="111"/>
        <v>3.4482758620689655E-2</v>
      </c>
      <c r="S978" s="3">
        <f t="shared" si="107"/>
        <v>40.370000240000003</v>
      </c>
      <c r="T978" s="4">
        <f t="shared" si="108"/>
        <v>1</v>
      </c>
      <c r="U978" s="3">
        <f t="shared" si="109"/>
        <v>0.43326607967717012</v>
      </c>
      <c r="V978" s="5">
        <f t="shared" si="110"/>
        <v>0.23854346551274622</v>
      </c>
    </row>
    <row r="979" spans="1:22" x14ac:dyDescent="0.3">
      <c r="A979">
        <v>1122138</v>
      </c>
      <c r="B979" s="1">
        <v>42973</v>
      </c>
      <c r="C979" s="1">
        <v>42973</v>
      </c>
      <c r="D979" s="6" t="s">
        <v>28</v>
      </c>
      <c r="E979" s="6" t="s">
        <v>28</v>
      </c>
      <c r="F979" s="7" t="s">
        <v>25</v>
      </c>
      <c r="G979" s="7" t="s">
        <v>27</v>
      </c>
      <c r="H979" s="7">
        <v>31</v>
      </c>
      <c r="I979" s="7">
        <v>32</v>
      </c>
      <c r="J979" s="7">
        <v>37</v>
      </c>
      <c r="K979" s="7">
        <v>47229</v>
      </c>
      <c r="L979" s="7">
        <v>13</v>
      </c>
      <c r="M979" s="7">
        <v>19.279999849999999</v>
      </c>
      <c r="N979" s="7">
        <v>1</v>
      </c>
      <c r="O979" s="7">
        <v>0</v>
      </c>
      <c r="P979" s="2">
        <f t="shared" si="105"/>
        <v>2.7525461051472612E-2</v>
      </c>
      <c r="Q979" s="3">
        <f t="shared" si="106"/>
        <v>1.4830769115384614</v>
      </c>
      <c r="R979" s="4">
        <f t="shared" si="111"/>
        <v>0</v>
      </c>
      <c r="S979" s="3">
        <f t="shared" si="107"/>
        <v>0</v>
      </c>
      <c r="T979" s="4">
        <f t="shared" si="108"/>
        <v>0</v>
      </c>
      <c r="U979" s="3">
        <f t="shared" si="109"/>
        <v>0.40822375764890217</v>
      </c>
      <c r="V979" s="5">
        <f t="shared" si="110"/>
        <v>-1</v>
      </c>
    </row>
    <row r="980" spans="1:22" x14ac:dyDescent="0.3">
      <c r="A980">
        <v>1122139</v>
      </c>
      <c r="B980" s="1">
        <v>42973</v>
      </c>
      <c r="C980" s="1">
        <v>42973</v>
      </c>
      <c r="D980" s="6" t="s">
        <v>28</v>
      </c>
      <c r="E980" s="6" t="s">
        <v>28</v>
      </c>
      <c r="F980" s="8" t="s">
        <v>25</v>
      </c>
      <c r="G980" s="8" t="s">
        <v>27</v>
      </c>
      <c r="H980" s="8">
        <v>31</v>
      </c>
      <c r="I980" s="8">
        <v>36</v>
      </c>
      <c r="J980" s="8">
        <v>32</v>
      </c>
      <c r="K980" s="8">
        <v>92263</v>
      </c>
      <c r="L980" s="8">
        <v>24</v>
      </c>
      <c r="M980" s="8">
        <v>34.030000149999999</v>
      </c>
      <c r="N980" s="8">
        <v>1</v>
      </c>
      <c r="O980" s="8">
        <v>0</v>
      </c>
      <c r="P980" s="2">
        <f t="shared" si="105"/>
        <v>2.6012594431137074E-2</v>
      </c>
      <c r="Q980" s="3">
        <f t="shared" si="106"/>
        <v>1.4179166729166666</v>
      </c>
      <c r="R980" s="4">
        <f t="shared" si="111"/>
        <v>0</v>
      </c>
      <c r="S980" s="3">
        <f t="shared" si="107"/>
        <v>0</v>
      </c>
      <c r="T980" s="4">
        <f t="shared" si="108"/>
        <v>0</v>
      </c>
      <c r="U980" s="3">
        <f t="shared" si="109"/>
        <v>0.36883691349728492</v>
      </c>
      <c r="V980" s="5">
        <f t="shared" si="110"/>
        <v>-1</v>
      </c>
    </row>
    <row r="981" spans="1:22" x14ac:dyDescent="0.3">
      <c r="A981">
        <v>1122140</v>
      </c>
      <c r="B981" s="1">
        <v>42973</v>
      </c>
      <c r="C981" s="1">
        <v>42973</v>
      </c>
      <c r="D981" s="6" t="s">
        <v>28</v>
      </c>
      <c r="E981" s="6" t="s">
        <v>28</v>
      </c>
      <c r="F981" s="7" t="s">
        <v>25</v>
      </c>
      <c r="G981" s="7" t="s">
        <v>27</v>
      </c>
      <c r="H981" s="7">
        <v>31</v>
      </c>
      <c r="I981" s="7">
        <v>35</v>
      </c>
      <c r="J981" s="7">
        <v>35</v>
      </c>
      <c r="K981" s="7">
        <v>81551</v>
      </c>
      <c r="L981" s="7">
        <v>21</v>
      </c>
      <c r="M981" s="7">
        <v>29.670000080000001</v>
      </c>
      <c r="N981" s="7">
        <v>1</v>
      </c>
      <c r="O981" s="7">
        <v>0</v>
      </c>
      <c r="P981" s="2">
        <f t="shared" si="105"/>
        <v>2.5750757194884184E-2</v>
      </c>
      <c r="Q981" s="3">
        <f t="shared" si="106"/>
        <v>1.4128571466666666</v>
      </c>
      <c r="R981" s="4">
        <f t="shared" si="111"/>
        <v>0</v>
      </c>
      <c r="S981" s="3">
        <f t="shared" si="107"/>
        <v>0</v>
      </c>
      <c r="T981" s="4">
        <f t="shared" si="108"/>
        <v>0</v>
      </c>
      <c r="U981" s="3">
        <f t="shared" si="109"/>
        <v>0.36382141334870205</v>
      </c>
      <c r="V981" s="5">
        <f t="shared" si="110"/>
        <v>-1</v>
      </c>
    </row>
    <row r="982" spans="1:22" x14ac:dyDescent="0.3">
      <c r="A982">
        <v>1122145</v>
      </c>
      <c r="B982" s="1">
        <v>42973</v>
      </c>
      <c r="C982" s="1">
        <v>42973</v>
      </c>
      <c r="D982" s="6" t="s">
        <v>28</v>
      </c>
      <c r="E982" s="6" t="s">
        <v>28</v>
      </c>
      <c r="F982" s="8" t="s">
        <v>25</v>
      </c>
      <c r="G982" s="8" t="s">
        <v>27</v>
      </c>
      <c r="H982" s="8">
        <v>32</v>
      </c>
      <c r="I982" s="8">
        <v>35</v>
      </c>
      <c r="J982" s="8">
        <v>34</v>
      </c>
      <c r="K982" s="8">
        <v>141037</v>
      </c>
      <c r="L982" s="8">
        <v>32</v>
      </c>
      <c r="M982" s="8">
        <v>47.789999129999998</v>
      </c>
      <c r="N982" s="8">
        <v>3</v>
      </c>
      <c r="O982" s="8">
        <v>0</v>
      </c>
      <c r="P982" s="2">
        <f t="shared" si="105"/>
        <v>2.2689081588519323E-2</v>
      </c>
      <c r="Q982" s="3">
        <f t="shared" si="106"/>
        <v>1.4934374728124999</v>
      </c>
      <c r="R982" s="4">
        <f t="shared" si="111"/>
        <v>0</v>
      </c>
      <c r="S982" s="3">
        <f t="shared" si="107"/>
        <v>0</v>
      </c>
      <c r="T982" s="4">
        <f t="shared" si="108"/>
        <v>0</v>
      </c>
      <c r="U982" s="3">
        <f t="shared" si="109"/>
        <v>0.33884724667994925</v>
      </c>
      <c r="V982" s="5">
        <f t="shared" si="110"/>
        <v>-1</v>
      </c>
    </row>
    <row r="983" spans="1:22" x14ac:dyDescent="0.3">
      <c r="A983">
        <v>1122146</v>
      </c>
      <c r="B983" s="1">
        <v>42973</v>
      </c>
      <c r="C983" s="1">
        <v>42973</v>
      </c>
      <c r="D983" s="6" t="s">
        <v>28</v>
      </c>
      <c r="E983" s="6" t="s">
        <v>28</v>
      </c>
      <c r="F983" s="7" t="s">
        <v>25</v>
      </c>
      <c r="G983" s="7" t="s">
        <v>27</v>
      </c>
      <c r="H983" s="7">
        <v>32</v>
      </c>
      <c r="I983" s="7">
        <v>38</v>
      </c>
      <c r="J983" s="7">
        <v>37</v>
      </c>
      <c r="K983" s="7">
        <v>319501</v>
      </c>
      <c r="L983" s="7">
        <v>79</v>
      </c>
      <c r="M983" s="7">
        <v>111.6500003</v>
      </c>
      <c r="N983" s="7">
        <v>0</v>
      </c>
      <c r="O983" s="7">
        <v>0</v>
      </c>
      <c r="P983" s="2">
        <f t="shared" si="105"/>
        <v>2.4726057195439136E-2</v>
      </c>
      <c r="Q983" s="3">
        <f t="shared" si="106"/>
        <v>1.4132911430379747</v>
      </c>
      <c r="R983" s="4">
        <f t="shared" si="111"/>
        <v>0</v>
      </c>
      <c r="S983" s="3">
        <f t="shared" si="107"/>
        <v>0</v>
      </c>
      <c r="T983" s="4">
        <f t="shared" si="108"/>
        <v>0</v>
      </c>
      <c r="U983" s="3">
        <f t="shared" si="109"/>
        <v>0.34945117636564521</v>
      </c>
      <c r="V983" s="5">
        <f t="shared" si="110"/>
        <v>-1</v>
      </c>
    </row>
    <row r="984" spans="1:22" x14ac:dyDescent="0.3">
      <c r="A984">
        <v>1122149</v>
      </c>
      <c r="B984" s="1">
        <v>42973</v>
      </c>
      <c r="C984" s="1">
        <v>42973</v>
      </c>
      <c r="D984" s="6" t="s">
        <v>28</v>
      </c>
      <c r="E984" s="6" t="s">
        <v>28</v>
      </c>
      <c r="F984" s="8" t="s">
        <v>25</v>
      </c>
      <c r="G984" s="8" t="s">
        <v>27</v>
      </c>
      <c r="H984" s="8">
        <v>36</v>
      </c>
      <c r="I984" s="8">
        <v>41</v>
      </c>
      <c r="J984" s="8">
        <v>37</v>
      </c>
      <c r="K984" s="8">
        <v>72741</v>
      </c>
      <c r="L984" s="8">
        <v>19</v>
      </c>
      <c r="M984" s="8">
        <v>24.330000160000001</v>
      </c>
      <c r="N984" s="8">
        <v>2</v>
      </c>
      <c r="O984" s="8">
        <v>0</v>
      </c>
      <c r="P984" s="2">
        <f t="shared" si="105"/>
        <v>2.6120069836818301E-2</v>
      </c>
      <c r="Q984" s="3">
        <f t="shared" si="106"/>
        <v>1.2805263242105263</v>
      </c>
      <c r="R984" s="4">
        <f t="shared" si="111"/>
        <v>0</v>
      </c>
      <c r="S984" s="3">
        <f t="shared" si="107"/>
        <v>0</v>
      </c>
      <c r="T984" s="4">
        <f t="shared" si="108"/>
        <v>0</v>
      </c>
      <c r="U984" s="3">
        <f t="shared" si="109"/>
        <v>0.33447437016263182</v>
      </c>
      <c r="V984" s="5">
        <f t="shared" si="110"/>
        <v>-1</v>
      </c>
    </row>
    <row r="985" spans="1:22" x14ac:dyDescent="0.3">
      <c r="A985">
        <v>1122154</v>
      </c>
      <c r="B985" s="1">
        <v>42972</v>
      </c>
      <c r="C985" s="1">
        <v>42972</v>
      </c>
      <c r="D985" s="6" t="s">
        <v>28</v>
      </c>
      <c r="E985" s="6" t="s">
        <v>28</v>
      </c>
      <c r="F985" s="7" t="s">
        <v>25</v>
      </c>
      <c r="G985" s="7" t="s">
        <v>27</v>
      </c>
      <c r="H985" s="7">
        <v>63</v>
      </c>
      <c r="I985" s="7">
        <v>66</v>
      </c>
      <c r="J985" s="7">
        <v>68</v>
      </c>
      <c r="K985" s="7">
        <v>597419</v>
      </c>
      <c r="L985" s="7">
        <v>135</v>
      </c>
      <c r="M985" s="7">
        <v>188.51000020000001</v>
      </c>
      <c r="N985" s="7">
        <v>2</v>
      </c>
      <c r="O985" s="7">
        <v>1</v>
      </c>
      <c r="P985" s="2">
        <f t="shared" si="105"/>
        <v>2.2597205646288452E-2</v>
      </c>
      <c r="Q985" s="3">
        <f t="shared" si="106"/>
        <v>1.3963703718518519</v>
      </c>
      <c r="R985" s="4">
        <f t="shared" si="111"/>
        <v>7.4074074074074077E-3</v>
      </c>
      <c r="S985" s="3">
        <f t="shared" si="107"/>
        <v>188.51000020000001</v>
      </c>
      <c r="T985" s="4">
        <f t="shared" si="108"/>
        <v>0.5</v>
      </c>
      <c r="U985" s="3">
        <f t="shared" si="109"/>
        <v>0.3155406845112057</v>
      </c>
      <c r="V985" s="5">
        <f t="shared" si="110"/>
        <v>-0.73476208186858838</v>
      </c>
    </row>
    <row r="986" spans="1:22" x14ac:dyDescent="0.3">
      <c r="A986">
        <v>1122157</v>
      </c>
      <c r="B986" s="1">
        <v>42972</v>
      </c>
      <c r="C986" s="1">
        <v>42972</v>
      </c>
      <c r="D986" s="6" t="s">
        <v>28</v>
      </c>
      <c r="E986" s="6" t="s">
        <v>28</v>
      </c>
      <c r="F986" s="8" t="s">
        <v>25</v>
      </c>
      <c r="G986" s="8" t="s">
        <v>27</v>
      </c>
      <c r="H986" s="8">
        <v>63</v>
      </c>
      <c r="I986" s="8">
        <v>69</v>
      </c>
      <c r="J986" s="8">
        <v>66</v>
      </c>
      <c r="K986" s="8">
        <v>98768</v>
      </c>
      <c r="L986" s="8">
        <v>21</v>
      </c>
      <c r="M986" s="8">
        <v>33.14000034</v>
      </c>
      <c r="N986" s="8">
        <v>1</v>
      </c>
      <c r="O986" s="8">
        <v>1</v>
      </c>
      <c r="P986" s="2">
        <f t="shared" si="105"/>
        <v>2.1261947189373076E-2</v>
      </c>
      <c r="Q986" s="3">
        <f t="shared" si="106"/>
        <v>1.5780952542857143</v>
      </c>
      <c r="R986" s="4">
        <f t="shared" si="111"/>
        <v>4.7619047619047616E-2</v>
      </c>
      <c r="S986" s="3">
        <f t="shared" si="107"/>
        <v>33.14000034</v>
      </c>
      <c r="T986" s="4">
        <f t="shared" si="108"/>
        <v>1</v>
      </c>
      <c r="U986" s="3">
        <f t="shared" si="109"/>
        <v>0.3355337795642313</v>
      </c>
      <c r="V986" s="5">
        <f t="shared" si="110"/>
        <v>0.50875073889634126</v>
      </c>
    </row>
    <row r="987" spans="1:22" x14ac:dyDescent="0.3">
      <c r="A987">
        <v>1122160</v>
      </c>
      <c r="B987" s="1">
        <v>42971</v>
      </c>
      <c r="C987" s="1">
        <v>42971</v>
      </c>
      <c r="D987" s="6" t="s">
        <v>28</v>
      </c>
      <c r="E987" s="6" t="s">
        <v>28</v>
      </c>
      <c r="F987" s="7" t="s">
        <v>25</v>
      </c>
      <c r="G987" s="7" t="s">
        <v>27</v>
      </c>
      <c r="H987" s="7">
        <v>64</v>
      </c>
      <c r="I987" s="7">
        <v>69</v>
      </c>
      <c r="J987" s="7">
        <v>67</v>
      </c>
      <c r="K987" s="7">
        <v>173165</v>
      </c>
      <c r="L987" s="7">
        <v>41</v>
      </c>
      <c r="M987" s="7">
        <v>59.850000260000002</v>
      </c>
      <c r="N987" s="7">
        <v>1</v>
      </c>
      <c r="O987" s="7">
        <v>0</v>
      </c>
      <c r="P987" s="2">
        <f t="shared" si="105"/>
        <v>2.3676840008084777E-2</v>
      </c>
      <c r="Q987" s="3">
        <f t="shared" si="106"/>
        <v>1.4597561039024392</v>
      </c>
      <c r="R987" s="4">
        <f t="shared" si="111"/>
        <v>0</v>
      </c>
      <c r="S987" s="3">
        <f t="shared" si="107"/>
        <v>0</v>
      </c>
      <c r="T987" s="4">
        <f t="shared" si="108"/>
        <v>0</v>
      </c>
      <c r="U987" s="3">
        <f t="shared" si="109"/>
        <v>0.34562411722923225</v>
      </c>
      <c r="V987" s="5">
        <f t="shared" si="110"/>
        <v>-1</v>
      </c>
    </row>
    <row r="988" spans="1:22" x14ac:dyDescent="0.3">
      <c r="A988">
        <v>1122165</v>
      </c>
      <c r="B988" s="1">
        <v>42971</v>
      </c>
      <c r="C988" s="1">
        <v>42971</v>
      </c>
      <c r="D988" s="6" t="s">
        <v>28</v>
      </c>
      <c r="E988" s="6" t="s">
        <v>28</v>
      </c>
      <c r="F988" s="8" t="s">
        <v>25</v>
      </c>
      <c r="G988" s="8" t="s">
        <v>27</v>
      </c>
      <c r="H988" s="8">
        <v>65</v>
      </c>
      <c r="I988" s="8">
        <v>68</v>
      </c>
      <c r="J988" s="8">
        <v>69</v>
      </c>
      <c r="K988" s="8">
        <v>55823</v>
      </c>
      <c r="L988" s="8">
        <v>13</v>
      </c>
      <c r="M988" s="8">
        <v>21.10999966</v>
      </c>
      <c r="N988" s="8">
        <v>1</v>
      </c>
      <c r="O988" s="8">
        <v>1</v>
      </c>
      <c r="P988" s="2">
        <f t="shared" si="105"/>
        <v>2.3287892087490821E-2</v>
      </c>
      <c r="Q988" s="3">
        <f t="shared" si="106"/>
        <v>1.6238461276923077</v>
      </c>
      <c r="R988" s="4">
        <f t="shared" si="111"/>
        <v>7.6923076923076927E-2</v>
      </c>
      <c r="S988" s="3">
        <f t="shared" si="107"/>
        <v>21.10999966</v>
      </c>
      <c r="T988" s="4">
        <f t="shared" si="108"/>
        <v>1</v>
      </c>
      <c r="U988" s="3">
        <f t="shared" si="109"/>
        <v>0.37815953388388301</v>
      </c>
      <c r="V988" s="5">
        <f t="shared" si="110"/>
        <v>1.3685457510803201</v>
      </c>
    </row>
    <row r="989" spans="1:22" x14ac:dyDescent="0.3">
      <c r="A989">
        <v>1122166</v>
      </c>
      <c r="B989" s="1">
        <v>42972</v>
      </c>
      <c r="C989" s="1">
        <v>42972</v>
      </c>
      <c r="D989" s="6" t="s">
        <v>28</v>
      </c>
      <c r="E989" s="6" t="s">
        <v>28</v>
      </c>
      <c r="F989" s="7" t="s">
        <v>25</v>
      </c>
      <c r="G989" s="7" t="s">
        <v>27</v>
      </c>
      <c r="H989" s="7">
        <v>65</v>
      </c>
      <c r="I989" s="7">
        <v>66</v>
      </c>
      <c r="J989" s="7">
        <v>68</v>
      </c>
      <c r="K989" s="7">
        <v>118451</v>
      </c>
      <c r="L989" s="7">
        <v>28</v>
      </c>
      <c r="M989" s="7">
        <v>38.350000620000003</v>
      </c>
      <c r="N989" s="7">
        <v>4</v>
      </c>
      <c r="O989" s="7">
        <v>1</v>
      </c>
      <c r="P989" s="2">
        <f t="shared" si="105"/>
        <v>2.3638466538906382E-2</v>
      </c>
      <c r="Q989" s="3">
        <f t="shared" si="106"/>
        <v>1.3696428792857145</v>
      </c>
      <c r="R989" s="4">
        <f t="shared" si="111"/>
        <v>3.5714285714285712E-2</v>
      </c>
      <c r="S989" s="3">
        <f t="shared" si="107"/>
        <v>38.350000620000003</v>
      </c>
      <c r="T989" s="4">
        <f t="shared" si="108"/>
        <v>0.25</v>
      </c>
      <c r="U989" s="3">
        <f t="shared" si="109"/>
        <v>0.32376257372246753</v>
      </c>
      <c r="V989" s="5">
        <f t="shared" si="110"/>
        <v>0.3037809437198386</v>
      </c>
    </row>
    <row r="990" spans="1:22" x14ac:dyDescent="0.3">
      <c r="A990">
        <v>1122176</v>
      </c>
      <c r="B990" s="1">
        <v>42972</v>
      </c>
      <c r="C990" s="1">
        <v>42972</v>
      </c>
      <c r="D990" s="6" t="s">
        <v>28</v>
      </c>
      <c r="E990" s="6" t="s">
        <v>28</v>
      </c>
      <c r="F990" s="8" t="s">
        <v>25</v>
      </c>
      <c r="G990" s="8" t="s">
        <v>27</v>
      </c>
      <c r="H990" s="8">
        <v>2</v>
      </c>
      <c r="I990" s="8">
        <v>6</v>
      </c>
      <c r="J990" s="8">
        <v>8</v>
      </c>
      <c r="K990" s="8">
        <v>74424</v>
      </c>
      <c r="L990" s="8">
        <v>22</v>
      </c>
      <c r="M990" s="8">
        <v>30.840000270000001</v>
      </c>
      <c r="N990" s="8">
        <v>1</v>
      </c>
      <c r="O990" s="8">
        <v>1</v>
      </c>
      <c r="P990" s="2">
        <f t="shared" si="105"/>
        <v>2.9560356874126625E-2</v>
      </c>
      <c r="Q990" s="3">
        <f t="shared" si="106"/>
        <v>1.4018181940909091</v>
      </c>
      <c r="R990" s="4">
        <f t="shared" si="111"/>
        <v>4.5454545454545456E-2</v>
      </c>
      <c r="S990" s="3">
        <f t="shared" si="107"/>
        <v>30.840000270000001</v>
      </c>
      <c r="T990" s="4">
        <f t="shared" si="108"/>
        <v>1</v>
      </c>
      <c r="U990" s="3">
        <f t="shared" si="109"/>
        <v>0.41438246089970976</v>
      </c>
      <c r="V990" s="5">
        <f t="shared" si="110"/>
        <v>0.62127106232998741</v>
      </c>
    </row>
    <row r="991" spans="1:22" x14ac:dyDescent="0.3">
      <c r="A991">
        <v>1122177</v>
      </c>
      <c r="B991" s="1">
        <v>42972</v>
      </c>
      <c r="C991" s="1">
        <v>42972</v>
      </c>
      <c r="D991" s="6" t="s">
        <v>28</v>
      </c>
      <c r="E991" s="6" t="s">
        <v>28</v>
      </c>
      <c r="F991" s="7" t="s">
        <v>25</v>
      </c>
      <c r="G991" s="7" t="s">
        <v>27</v>
      </c>
      <c r="H991" s="7">
        <v>7</v>
      </c>
      <c r="I991" s="7">
        <v>10</v>
      </c>
      <c r="J991" s="7">
        <v>12</v>
      </c>
      <c r="K991" s="7">
        <v>47929</v>
      </c>
      <c r="L991" s="7">
        <v>12</v>
      </c>
      <c r="M991" s="7">
        <v>14.58999991</v>
      </c>
      <c r="N991" s="7">
        <v>1</v>
      </c>
      <c r="O991" s="7">
        <v>1</v>
      </c>
      <c r="P991" s="2">
        <f t="shared" si="105"/>
        <v>2.503703394604519E-2</v>
      </c>
      <c r="Q991" s="3">
        <f t="shared" si="106"/>
        <v>1.2158333258333334</v>
      </c>
      <c r="R991" s="4">
        <f t="shared" si="111"/>
        <v>8.3333333333333329E-2</v>
      </c>
      <c r="S991" s="3">
        <f t="shared" si="107"/>
        <v>14.58999991</v>
      </c>
      <c r="T991" s="4">
        <f t="shared" si="108"/>
        <v>1</v>
      </c>
      <c r="U991" s="3">
        <f t="shared" si="109"/>
        <v>0.30440860251622193</v>
      </c>
      <c r="V991" s="5">
        <f t="shared" si="110"/>
        <v>2.4270048189465685</v>
      </c>
    </row>
    <row r="992" spans="1:22" x14ac:dyDescent="0.3">
      <c r="A992">
        <v>1122182</v>
      </c>
      <c r="B992" s="1">
        <v>42972</v>
      </c>
      <c r="C992" s="1">
        <v>42972</v>
      </c>
      <c r="D992" s="6" t="s">
        <v>28</v>
      </c>
      <c r="E992" s="6" t="s">
        <v>28</v>
      </c>
      <c r="F992" s="8" t="s">
        <v>25</v>
      </c>
      <c r="G992" s="8" t="s">
        <v>27</v>
      </c>
      <c r="H992" s="8">
        <v>7</v>
      </c>
      <c r="I992" s="8">
        <v>10</v>
      </c>
      <c r="J992" s="8">
        <v>8</v>
      </c>
      <c r="K992" s="8">
        <v>40801</v>
      </c>
      <c r="L992" s="8">
        <v>12</v>
      </c>
      <c r="M992" s="8">
        <v>15.91999972</v>
      </c>
      <c r="N992" s="8">
        <v>0</v>
      </c>
      <c r="O992" s="8">
        <v>0</v>
      </c>
      <c r="P992" s="2">
        <f t="shared" si="105"/>
        <v>2.9411043846964535E-2</v>
      </c>
      <c r="Q992" s="3">
        <f t="shared" si="106"/>
        <v>1.3266666433333334</v>
      </c>
      <c r="R992" s="4">
        <f t="shared" si="111"/>
        <v>0</v>
      </c>
      <c r="S992" s="3">
        <f t="shared" si="107"/>
        <v>0</v>
      </c>
      <c r="T992" s="4">
        <f t="shared" si="108"/>
        <v>0</v>
      </c>
      <c r="U992" s="3">
        <f t="shared" si="109"/>
        <v>0.39018650817381928</v>
      </c>
      <c r="V992" s="5">
        <f t="shared" si="110"/>
        <v>-1</v>
      </c>
    </row>
    <row r="993" spans="1:22" x14ac:dyDescent="0.3">
      <c r="A993">
        <v>1122183</v>
      </c>
      <c r="B993" s="1">
        <v>42972</v>
      </c>
      <c r="C993" s="1">
        <v>42972</v>
      </c>
      <c r="D993" s="6" t="s">
        <v>28</v>
      </c>
      <c r="E993" s="6" t="s">
        <v>28</v>
      </c>
      <c r="F993" s="7" t="s">
        <v>25</v>
      </c>
      <c r="G993" s="7" t="s">
        <v>27</v>
      </c>
      <c r="H993" s="7">
        <v>66</v>
      </c>
      <c r="I993" s="7">
        <v>71</v>
      </c>
      <c r="J993" s="7">
        <v>67</v>
      </c>
      <c r="K993" s="7">
        <v>66017</v>
      </c>
      <c r="L993" s="7">
        <v>17</v>
      </c>
      <c r="M993" s="7">
        <v>24.220000150000001</v>
      </c>
      <c r="N993" s="7">
        <v>1</v>
      </c>
      <c r="O993" s="7">
        <v>0</v>
      </c>
      <c r="P993" s="2">
        <f t="shared" si="105"/>
        <v>2.575094293893997E-2</v>
      </c>
      <c r="Q993" s="3">
        <f t="shared" si="106"/>
        <v>1.4247058911764707</v>
      </c>
      <c r="R993" s="4">
        <f t="shared" si="111"/>
        <v>0</v>
      </c>
      <c r="S993" s="3">
        <f t="shared" si="107"/>
        <v>0</v>
      </c>
      <c r="T993" s="4">
        <f t="shared" si="108"/>
        <v>0</v>
      </c>
      <c r="U993" s="3">
        <f t="shared" si="109"/>
        <v>0.36687520108456917</v>
      </c>
      <c r="V993" s="5">
        <f t="shared" si="110"/>
        <v>-1</v>
      </c>
    </row>
    <row r="994" spans="1:22" x14ac:dyDescent="0.3">
      <c r="A994">
        <v>1122189</v>
      </c>
      <c r="B994" s="1">
        <v>42972</v>
      </c>
      <c r="C994" s="1">
        <v>42972</v>
      </c>
      <c r="D994" s="6" t="s">
        <v>28</v>
      </c>
      <c r="E994" s="6" t="s">
        <v>28</v>
      </c>
      <c r="F994" s="8" t="s">
        <v>26</v>
      </c>
      <c r="G994" s="8" t="s">
        <v>27</v>
      </c>
      <c r="H994" s="8">
        <v>10</v>
      </c>
      <c r="I994" s="8">
        <v>16</v>
      </c>
      <c r="J994" s="8">
        <v>14</v>
      </c>
      <c r="K994" s="8">
        <v>725043</v>
      </c>
      <c r="L994" s="8">
        <v>179</v>
      </c>
      <c r="M994" s="8">
        <v>238.40000069999999</v>
      </c>
      <c r="N994" s="8">
        <v>5</v>
      </c>
      <c r="O994" s="8">
        <v>3</v>
      </c>
      <c r="P994" s="2">
        <f t="shared" si="105"/>
        <v>2.4688190907297913E-2</v>
      </c>
      <c r="Q994" s="3">
        <f t="shared" si="106"/>
        <v>1.3318435793296088</v>
      </c>
      <c r="R994" s="4">
        <f t="shared" si="111"/>
        <v>1.6759776536312849E-2</v>
      </c>
      <c r="S994" s="3">
        <f t="shared" si="107"/>
        <v>79.466666899999993</v>
      </c>
      <c r="T994" s="4">
        <f t="shared" si="108"/>
        <v>0.6</v>
      </c>
      <c r="U994" s="3">
        <f t="shared" si="109"/>
        <v>0.32880808545148354</v>
      </c>
      <c r="V994" s="5">
        <f t="shared" si="110"/>
        <v>-0.37080537097498423</v>
      </c>
    </row>
    <row r="995" spans="1:22" x14ac:dyDescent="0.3">
      <c r="A995">
        <v>1122191</v>
      </c>
      <c r="B995" s="1">
        <v>42974</v>
      </c>
      <c r="C995" s="1">
        <v>42974</v>
      </c>
      <c r="D995" s="6" t="s">
        <v>28</v>
      </c>
      <c r="E995" s="6" t="s">
        <v>28</v>
      </c>
      <c r="F995" s="7" t="s">
        <v>26</v>
      </c>
      <c r="G995" s="7" t="s">
        <v>27</v>
      </c>
      <c r="H995" s="7">
        <v>10</v>
      </c>
      <c r="I995" s="7">
        <v>16</v>
      </c>
      <c r="J995" s="7">
        <v>16</v>
      </c>
      <c r="K995" s="7">
        <v>382776</v>
      </c>
      <c r="L995" s="7">
        <v>97</v>
      </c>
      <c r="M995" s="7">
        <v>132.73000070000001</v>
      </c>
      <c r="N995" s="7">
        <v>5</v>
      </c>
      <c r="O995" s="7">
        <v>1</v>
      </c>
      <c r="P995" s="2">
        <f t="shared" si="105"/>
        <v>2.5341191715259056E-2</v>
      </c>
      <c r="Q995" s="3">
        <f t="shared" si="106"/>
        <v>1.3683505226804125</v>
      </c>
      <c r="R995" s="4">
        <f t="shared" si="111"/>
        <v>1.0309278350515464E-2</v>
      </c>
      <c r="S995" s="3">
        <f t="shared" si="107"/>
        <v>132.73000070000001</v>
      </c>
      <c r="T995" s="4">
        <f t="shared" si="108"/>
        <v>0.2</v>
      </c>
      <c r="U995" s="3">
        <f t="shared" si="109"/>
        <v>0.34675632928919264</v>
      </c>
      <c r="V995" s="5">
        <f t="shared" si="110"/>
        <v>-0.62329541372480379</v>
      </c>
    </row>
    <row r="996" spans="1:22" x14ac:dyDescent="0.3">
      <c r="A996">
        <v>1122192</v>
      </c>
      <c r="B996" s="1">
        <v>42974</v>
      </c>
      <c r="C996" s="1">
        <v>42974</v>
      </c>
      <c r="D996" s="6" t="s">
        <v>28</v>
      </c>
      <c r="E996" s="6" t="s">
        <v>28</v>
      </c>
      <c r="F996" s="8" t="s">
        <v>26</v>
      </c>
      <c r="G996" s="8" t="s">
        <v>27</v>
      </c>
      <c r="H996" s="8">
        <v>10</v>
      </c>
      <c r="I996" s="8">
        <v>16</v>
      </c>
      <c r="J996" s="8">
        <v>13</v>
      </c>
      <c r="K996" s="8">
        <v>548250</v>
      </c>
      <c r="L996" s="8">
        <v>137</v>
      </c>
      <c r="M996" s="8">
        <v>201.6000042</v>
      </c>
      <c r="N996" s="8">
        <v>5</v>
      </c>
      <c r="O996" s="8">
        <v>1</v>
      </c>
      <c r="P996" s="2">
        <f t="shared" si="105"/>
        <v>2.498860009119927E-2</v>
      </c>
      <c r="Q996" s="3">
        <f t="shared" si="106"/>
        <v>1.4715328773722627</v>
      </c>
      <c r="R996" s="4">
        <f t="shared" si="111"/>
        <v>7.2992700729927005E-3</v>
      </c>
      <c r="S996" s="3">
        <f t="shared" si="107"/>
        <v>201.6000042</v>
      </c>
      <c r="T996" s="4">
        <f t="shared" si="108"/>
        <v>0.2</v>
      </c>
      <c r="U996" s="3">
        <f t="shared" si="109"/>
        <v>0.36771546593707249</v>
      </c>
      <c r="V996" s="5">
        <f t="shared" si="110"/>
        <v>-0.75198413215112425</v>
      </c>
    </row>
    <row r="997" spans="1:22" x14ac:dyDescent="0.3">
      <c r="A997">
        <v>1122193</v>
      </c>
      <c r="B997" s="1">
        <v>42975</v>
      </c>
      <c r="C997" s="1">
        <v>42975</v>
      </c>
      <c r="D997" s="6" t="s">
        <v>28</v>
      </c>
      <c r="E997" s="6" t="s">
        <v>28</v>
      </c>
      <c r="F997" s="7" t="s">
        <v>26</v>
      </c>
      <c r="G997" s="7" t="s">
        <v>27</v>
      </c>
      <c r="H997" s="7">
        <v>10</v>
      </c>
      <c r="I997" s="7">
        <v>11</v>
      </c>
      <c r="J997" s="7">
        <v>15</v>
      </c>
      <c r="K997" s="7">
        <v>1358324</v>
      </c>
      <c r="L997" s="7">
        <v>346</v>
      </c>
      <c r="M997" s="7">
        <v>465.07999810000001</v>
      </c>
      <c r="N997" s="7">
        <v>8</v>
      </c>
      <c r="O997" s="7">
        <v>2</v>
      </c>
      <c r="P997" s="2">
        <f t="shared" si="105"/>
        <v>2.5472567664268614E-2</v>
      </c>
      <c r="Q997" s="3">
        <f t="shared" si="106"/>
        <v>1.3441618442196532</v>
      </c>
      <c r="R997" s="4">
        <f t="shared" si="111"/>
        <v>5.7803468208092483E-3</v>
      </c>
      <c r="S997" s="3">
        <f t="shared" si="107"/>
        <v>232.53999905000001</v>
      </c>
      <c r="T997" s="4">
        <f t="shared" si="108"/>
        <v>0.25</v>
      </c>
      <c r="U997" s="3">
        <f t="shared" si="109"/>
        <v>0.34239253528613206</v>
      </c>
      <c r="V997" s="5">
        <f t="shared" si="110"/>
        <v>-0.78498322781342589</v>
      </c>
    </row>
    <row r="998" spans="1:22" x14ac:dyDescent="0.3">
      <c r="A998">
        <v>1122197</v>
      </c>
      <c r="B998" s="1">
        <v>42975</v>
      </c>
      <c r="C998" s="1">
        <v>42975</v>
      </c>
      <c r="D998" s="6" t="s">
        <v>28</v>
      </c>
      <c r="E998" s="6" t="s">
        <v>28</v>
      </c>
      <c r="F998" s="8" t="s">
        <v>26</v>
      </c>
      <c r="G998" s="8" t="s">
        <v>27</v>
      </c>
      <c r="H998" s="8">
        <v>15</v>
      </c>
      <c r="I998" s="8">
        <v>16</v>
      </c>
      <c r="J998" s="8">
        <v>20</v>
      </c>
      <c r="K998" s="8">
        <v>662249</v>
      </c>
      <c r="L998" s="8">
        <v>163</v>
      </c>
      <c r="M998" s="8">
        <v>234.93999919999999</v>
      </c>
      <c r="N998" s="8">
        <v>2</v>
      </c>
      <c r="O998" s="8">
        <v>0</v>
      </c>
      <c r="P998" s="2">
        <f t="shared" si="105"/>
        <v>2.4613098698525779E-2</v>
      </c>
      <c r="Q998" s="3">
        <f t="shared" si="106"/>
        <v>1.4413496883435581</v>
      </c>
      <c r="R998" s="4">
        <f t="shared" si="111"/>
        <v>0</v>
      </c>
      <c r="S998" s="3">
        <f t="shared" si="107"/>
        <v>0</v>
      </c>
      <c r="T998" s="4">
        <f t="shared" si="108"/>
        <v>0</v>
      </c>
      <c r="U998" s="3">
        <f t="shared" si="109"/>
        <v>0.35476082138289372</v>
      </c>
      <c r="V998" s="5">
        <f t="shared" si="110"/>
        <v>-1</v>
      </c>
    </row>
    <row r="999" spans="1:22" x14ac:dyDescent="0.3">
      <c r="A999">
        <v>1122200</v>
      </c>
      <c r="B999" s="1">
        <v>42975</v>
      </c>
      <c r="C999" s="1">
        <v>42975</v>
      </c>
      <c r="D999" s="6" t="s">
        <v>28</v>
      </c>
      <c r="E999" s="6" t="s">
        <v>28</v>
      </c>
      <c r="F999" s="7" t="s">
        <v>26</v>
      </c>
      <c r="G999" s="7" t="s">
        <v>27</v>
      </c>
      <c r="H999" s="7">
        <v>15</v>
      </c>
      <c r="I999" s="7">
        <v>16</v>
      </c>
      <c r="J999" s="7">
        <v>16</v>
      </c>
      <c r="K999" s="7">
        <v>559554</v>
      </c>
      <c r="L999" s="7">
        <v>139</v>
      </c>
      <c r="M999" s="7">
        <v>195.07999939999999</v>
      </c>
      <c r="N999" s="7">
        <v>2</v>
      </c>
      <c r="O999" s="7">
        <v>0</v>
      </c>
      <c r="P999" s="2">
        <f t="shared" si="105"/>
        <v>2.4841212823069801E-2</v>
      </c>
      <c r="Q999" s="3">
        <f t="shared" si="106"/>
        <v>1.4034532330935252</v>
      </c>
      <c r="R999" s="4">
        <f t="shared" si="111"/>
        <v>0</v>
      </c>
      <c r="S999" s="3">
        <f t="shared" si="107"/>
        <v>0</v>
      </c>
      <c r="T999" s="4">
        <f t="shared" si="108"/>
        <v>0</v>
      </c>
      <c r="U999" s="3">
        <f t="shared" si="109"/>
        <v>0.34863480450501649</v>
      </c>
      <c r="V999" s="5">
        <f t="shared" si="110"/>
        <v>-1</v>
      </c>
    </row>
    <row r="1000" spans="1:22" x14ac:dyDescent="0.3">
      <c r="A1000">
        <v>1122201</v>
      </c>
      <c r="B1000" s="1">
        <v>42975</v>
      </c>
      <c r="C1000" s="1">
        <v>42975</v>
      </c>
      <c r="D1000" s="6" t="s">
        <v>28</v>
      </c>
      <c r="E1000" s="6" t="s">
        <v>28</v>
      </c>
      <c r="F1000" s="8" t="s">
        <v>26</v>
      </c>
      <c r="G1000" s="8" t="s">
        <v>27</v>
      </c>
      <c r="H1000" s="8">
        <v>16</v>
      </c>
      <c r="I1000" s="8">
        <v>19</v>
      </c>
      <c r="J1000" s="8">
        <v>21</v>
      </c>
      <c r="K1000" s="8">
        <v>320757</v>
      </c>
      <c r="L1000" s="8">
        <v>68</v>
      </c>
      <c r="M1000" s="8">
        <v>104.68999890000001</v>
      </c>
      <c r="N1000" s="8">
        <v>2</v>
      </c>
      <c r="O1000" s="8">
        <v>0</v>
      </c>
      <c r="P1000" s="2">
        <f t="shared" si="105"/>
        <v>2.1199849106956357E-2</v>
      </c>
      <c r="Q1000" s="3">
        <f t="shared" si="106"/>
        <v>1.5395588073529414</v>
      </c>
      <c r="R1000" s="4">
        <f t="shared" si="111"/>
        <v>0</v>
      </c>
      <c r="S1000" s="3">
        <f t="shared" si="107"/>
        <v>0</v>
      </c>
      <c r="T1000" s="4">
        <f t="shared" si="108"/>
        <v>0</v>
      </c>
      <c r="U1000" s="3">
        <f t="shared" si="109"/>
        <v>0.32638414407168048</v>
      </c>
      <c r="V1000" s="5">
        <f t="shared" si="110"/>
        <v>-1</v>
      </c>
    </row>
    <row r="1001" spans="1:22" x14ac:dyDescent="0.3">
      <c r="A1001">
        <v>1122202</v>
      </c>
      <c r="B1001" s="1">
        <v>42975</v>
      </c>
      <c r="C1001" s="1">
        <v>42975</v>
      </c>
      <c r="D1001" s="6" t="s">
        <v>28</v>
      </c>
      <c r="E1001" s="6" t="s">
        <v>28</v>
      </c>
      <c r="F1001" s="7" t="s">
        <v>26</v>
      </c>
      <c r="G1001" s="7" t="s">
        <v>27</v>
      </c>
      <c r="H1001" s="7">
        <v>16</v>
      </c>
      <c r="I1001" s="7">
        <v>20</v>
      </c>
      <c r="J1001" s="7">
        <v>19</v>
      </c>
      <c r="K1001" s="7">
        <v>906151</v>
      </c>
      <c r="L1001" s="7">
        <v>202</v>
      </c>
      <c r="M1001" s="7">
        <v>295.54999570000001</v>
      </c>
      <c r="N1001" s="7">
        <v>1</v>
      </c>
      <c r="O1001" s="7">
        <v>0</v>
      </c>
      <c r="P1001" s="2">
        <f t="shared" si="105"/>
        <v>2.2292090391115828E-2</v>
      </c>
      <c r="Q1001" s="3">
        <f t="shared" si="106"/>
        <v>1.4631187905940595</v>
      </c>
      <c r="R1001" s="4">
        <f t="shared" si="111"/>
        <v>0</v>
      </c>
      <c r="S1001" s="3">
        <f t="shared" si="107"/>
        <v>0</v>
      </c>
      <c r="T1001" s="4">
        <f t="shared" si="108"/>
        <v>0</v>
      </c>
      <c r="U1001" s="3">
        <f t="shared" si="109"/>
        <v>0.32615976332862845</v>
      </c>
      <c r="V1001" s="5">
        <f t="shared" si="110"/>
        <v>-1</v>
      </c>
    </row>
    <row r="1002" spans="1:22" x14ac:dyDescent="0.3">
      <c r="A1002">
        <v>1122203</v>
      </c>
      <c r="B1002" s="1">
        <v>42976</v>
      </c>
      <c r="C1002" s="1">
        <v>42976</v>
      </c>
      <c r="D1002" s="6" t="s">
        <v>28</v>
      </c>
      <c r="E1002" s="6" t="s">
        <v>28</v>
      </c>
      <c r="F1002" s="8" t="s">
        <v>26</v>
      </c>
      <c r="G1002" s="8" t="s">
        <v>27</v>
      </c>
      <c r="H1002" s="8">
        <v>16</v>
      </c>
      <c r="I1002" s="8">
        <v>22</v>
      </c>
      <c r="J1002" s="8">
        <v>19</v>
      </c>
      <c r="K1002" s="8">
        <v>699314</v>
      </c>
      <c r="L1002" s="8">
        <v>164</v>
      </c>
      <c r="M1002" s="8">
        <v>226.0300014</v>
      </c>
      <c r="N1002" s="8">
        <v>3</v>
      </c>
      <c r="O1002" s="8">
        <v>0</v>
      </c>
      <c r="P1002" s="2">
        <f t="shared" si="105"/>
        <v>2.3451553951443844E-2</v>
      </c>
      <c r="Q1002" s="3">
        <f t="shared" si="106"/>
        <v>1.3782317158536586</v>
      </c>
      <c r="R1002" s="4">
        <f t="shared" si="111"/>
        <v>0</v>
      </c>
      <c r="S1002" s="3">
        <f t="shared" si="107"/>
        <v>0</v>
      </c>
      <c r="T1002" s="4">
        <f t="shared" si="108"/>
        <v>0</v>
      </c>
      <c r="U1002" s="3">
        <f t="shared" si="109"/>
        <v>0.32321675441933095</v>
      </c>
      <c r="V1002" s="5">
        <f t="shared" si="110"/>
        <v>-1</v>
      </c>
    </row>
    <row r="1003" spans="1:22" x14ac:dyDescent="0.3">
      <c r="A1003">
        <v>1122204</v>
      </c>
      <c r="B1003" s="1">
        <v>42975</v>
      </c>
      <c r="C1003" s="1">
        <v>42975</v>
      </c>
      <c r="D1003" s="6" t="s">
        <v>28</v>
      </c>
      <c r="E1003" s="6" t="s">
        <v>28</v>
      </c>
      <c r="F1003" s="7" t="s">
        <v>26</v>
      </c>
      <c r="G1003" s="7" t="s">
        <v>27</v>
      </c>
      <c r="H1003" s="7">
        <v>16</v>
      </c>
      <c r="I1003" s="7">
        <v>21</v>
      </c>
      <c r="J1003" s="7">
        <v>22</v>
      </c>
      <c r="K1003" s="7">
        <v>850337</v>
      </c>
      <c r="L1003" s="7">
        <v>198</v>
      </c>
      <c r="M1003" s="7">
        <v>287.69000299999999</v>
      </c>
      <c r="N1003" s="7">
        <v>3</v>
      </c>
      <c r="O1003" s="7">
        <v>1</v>
      </c>
      <c r="P1003" s="2">
        <f t="shared" si="105"/>
        <v>2.3284885874659104E-2</v>
      </c>
      <c r="Q1003" s="3">
        <f t="shared" si="106"/>
        <v>1.4529798131313132</v>
      </c>
      <c r="R1003" s="4">
        <f t="shared" si="111"/>
        <v>5.0505050505050509E-3</v>
      </c>
      <c r="S1003" s="3">
        <f t="shared" si="107"/>
        <v>287.69000299999999</v>
      </c>
      <c r="T1003" s="4">
        <f t="shared" si="108"/>
        <v>0.33333333333333331</v>
      </c>
      <c r="U1003" s="3">
        <f t="shared" si="109"/>
        <v>0.33832469126946141</v>
      </c>
      <c r="V1003" s="5">
        <f t="shared" si="110"/>
        <v>-0.82620181626540568</v>
      </c>
    </row>
    <row r="1004" spans="1:22" x14ac:dyDescent="0.3">
      <c r="A1004">
        <v>1122205</v>
      </c>
      <c r="B1004" s="1">
        <v>42975</v>
      </c>
      <c r="C1004" s="1">
        <v>42975</v>
      </c>
      <c r="D1004" s="6" t="s">
        <v>28</v>
      </c>
      <c r="E1004" s="6" t="s">
        <v>28</v>
      </c>
      <c r="F1004" s="8" t="s">
        <v>26</v>
      </c>
      <c r="G1004" s="8" t="s">
        <v>27</v>
      </c>
      <c r="H1004" s="8">
        <v>16</v>
      </c>
      <c r="I1004" s="8">
        <v>20</v>
      </c>
      <c r="J1004" s="8">
        <v>22</v>
      </c>
      <c r="K1004" s="8">
        <v>1015460</v>
      </c>
      <c r="L1004" s="8">
        <v>247</v>
      </c>
      <c r="M1004" s="8">
        <v>315.90000509999999</v>
      </c>
      <c r="N1004" s="8">
        <v>9</v>
      </c>
      <c r="O1004" s="8">
        <v>2</v>
      </c>
      <c r="P1004" s="2">
        <f t="shared" si="105"/>
        <v>2.4323951706615721E-2</v>
      </c>
      <c r="Q1004" s="3">
        <f t="shared" si="106"/>
        <v>1.2789473890688259</v>
      </c>
      <c r="R1004" s="4">
        <f t="shared" si="111"/>
        <v>8.0971659919028341E-3</v>
      </c>
      <c r="S1004" s="3">
        <f t="shared" si="107"/>
        <v>157.95000254999999</v>
      </c>
      <c r="T1004" s="4">
        <f t="shared" si="108"/>
        <v>0.22222222222222221</v>
      </c>
      <c r="U1004" s="3">
        <f t="shared" si="109"/>
        <v>0.31109054527012392</v>
      </c>
      <c r="V1004" s="5">
        <f t="shared" si="110"/>
        <v>-0.68344413299916085</v>
      </c>
    </row>
    <row r="1005" spans="1:22" x14ac:dyDescent="0.3">
      <c r="A1005">
        <v>1122209</v>
      </c>
      <c r="B1005" s="1">
        <v>42975</v>
      </c>
      <c r="C1005" s="1">
        <v>42975</v>
      </c>
      <c r="D1005" s="6" t="s">
        <v>28</v>
      </c>
      <c r="E1005" s="6" t="s">
        <v>28</v>
      </c>
      <c r="F1005" s="7" t="s">
        <v>26</v>
      </c>
      <c r="G1005" s="7" t="s">
        <v>27</v>
      </c>
      <c r="H1005" s="7">
        <v>18</v>
      </c>
      <c r="I1005" s="7">
        <v>19</v>
      </c>
      <c r="J1005" s="7">
        <v>20</v>
      </c>
      <c r="K1005" s="7">
        <v>890295</v>
      </c>
      <c r="L1005" s="7">
        <v>227</v>
      </c>
      <c r="M1005" s="7">
        <v>332.98999889999999</v>
      </c>
      <c r="N1005" s="7">
        <v>1</v>
      </c>
      <c r="O1005" s="7">
        <v>0</v>
      </c>
      <c r="P1005" s="2">
        <f t="shared" si="105"/>
        <v>2.5497166669474727E-2</v>
      </c>
      <c r="Q1005" s="3">
        <f t="shared" si="106"/>
        <v>1.4669162947136563</v>
      </c>
      <c r="R1005" s="4">
        <f t="shared" si="111"/>
        <v>0</v>
      </c>
      <c r="S1005" s="3">
        <f t="shared" si="107"/>
        <v>0</v>
      </c>
      <c r="T1005" s="4">
        <f t="shared" si="108"/>
        <v>0</v>
      </c>
      <c r="U1005" s="3">
        <f t="shared" si="109"/>
        <v>0.37402209256482405</v>
      </c>
      <c r="V1005" s="5">
        <f t="shared" si="110"/>
        <v>-1</v>
      </c>
    </row>
    <row r="1006" spans="1:22" x14ac:dyDescent="0.3">
      <c r="A1006">
        <v>1122210</v>
      </c>
      <c r="B1006" s="1">
        <v>42975</v>
      </c>
      <c r="C1006" s="1">
        <v>42975</v>
      </c>
      <c r="D1006" s="6" t="s">
        <v>28</v>
      </c>
      <c r="E1006" s="6" t="s">
        <v>28</v>
      </c>
      <c r="F1006" s="8" t="s">
        <v>26</v>
      </c>
      <c r="G1006" s="8" t="s">
        <v>27</v>
      </c>
      <c r="H1006" s="8">
        <v>18</v>
      </c>
      <c r="I1006" s="8">
        <v>21</v>
      </c>
      <c r="J1006" s="8">
        <v>20</v>
      </c>
      <c r="K1006" s="8">
        <v>791817</v>
      </c>
      <c r="L1006" s="8">
        <v>194</v>
      </c>
      <c r="M1006" s="8">
        <v>282.49000100000001</v>
      </c>
      <c r="N1006" s="8">
        <v>4</v>
      </c>
      <c r="O1006" s="8">
        <v>2</v>
      </c>
      <c r="P1006" s="2">
        <f t="shared" si="105"/>
        <v>2.4500610620888413E-2</v>
      </c>
      <c r="Q1006" s="3">
        <f t="shared" si="106"/>
        <v>1.4561340257731958</v>
      </c>
      <c r="R1006" s="4">
        <f t="shared" si="111"/>
        <v>1.0309278350515464E-2</v>
      </c>
      <c r="S1006" s="3">
        <f t="shared" si="107"/>
        <v>141.2450005</v>
      </c>
      <c r="T1006" s="4">
        <f t="shared" si="108"/>
        <v>0.5</v>
      </c>
      <c r="U1006" s="3">
        <f t="shared" si="109"/>
        <v>0.35676172777295767</v>
      </c>
      <c r="V1006" s="5">
        <f t="shared" si="110"/>
        <v>-0.64600516957766585</v>
      </c>
    </row>
    <row r="1007" spans="1:22" x14ac:dyDescent="0.3">
      <c r="A1007">
        <v>1122211</v>
      </c>
      <c r="B1007" s="1">
        <v>42974</v>
      </c>
      <c r="C1007" s="1">
        <v>42974</v>
      </c>
      <c r="D1007" s="6" t="s">
        <v>28</v>
      </c>
      <c r="E1007" s="6" t="s">
        <v>28</v>
      </c>
      <c r="F1007" s="7" t="s">
        <v>26</v>
      </c>
      <c r="G1007" s="7" t="s">
        <v>27</v>
      </c>
      <c r="H1007" s="7">
        <v>18</v>
      </c>
      <c r="I1007" s="7">
        <v>24</v>
      </c>
      <c r="J1007" s="7">
        <v>21</v>
      </c>
      <c r="K1007" s="7">
        <v>317601</v>
      </c>
      <c r="L1007" s="7">
        <v>76</v>
      </c>
      <c r="M1007" s="7">
        <v>115.66000080000001</v>
      </c>
      <c r="N1007" s="7">
        <v>1</v>
      </c>
      <c r="O1007" s="7">
        <v>0</v>
      </c>
      <c r="P1007" s="2">
        <f t="shared" si="105"/>
        <v>2.3929395688300732E-2</v>
      </c>
      <c r="Q1007" s="3">
        <f t="shared" si="106"/>
        <v>1.5218421157894737</v>
      </c>
      <c r="R1007" s="4">
        <f t="shared" si="111"/>
        <v>0</v>
      </c>
      <c r="S1007" s="3">
        <f t="shared" si="107"/>
        <v>0</v>
      </c>
      <c r="T1007" s="4">
        <f t="shared" si="108"/>
        <v>0</v>
      </c>
      <c r="U1007" s="3">
        <f t="shared" si="109"/>
        <v>0.36416762163847094</v>
      </c>
      <c r="V1007" s="5">
        <f t="shared" si="110"/>
        <v>-1</v>
      </c>
    </row>
    <row r="1008" spans="1:22" x14ac:dyDescent="0.3">
      <c r="A1008">
        <v>1122212</v>
      </c>
      <c r="B1008" s="1">
        <v>42974</v>
      </c>
      <c r="C1008" s="1">
        <v>42974</v>
      </c>
      <c r="D1008" s="6" t="s">
        <v>28</v>
      </c>
      <c r="E1008" s="6" t="s">
        <v>28</v>
      </c>
      <c r="F1008" s="8" t="s">
        <v>26</v>
      </c>
      <c r="G1008" s="8" t="s">
        <v>27</v>
      </c>
      <c r="H1008" s="8">
        <v>18</v>
      </c>
      <c r="I1008" s="8">
        <v>23</v>
      </c>
      <c r="J1008" s="8">
        <v>24</v>
      </c>
      <c r="K1008" s="8">
        <v>685211</v>
      </c>
      <c r="L1008" s="8">
        <v>164</v>
      </c>
      <c r="M1008" s="8">
        <v>247.32000260000001</v>
      </c>
      <c r="N1008" s="8">
        <v>4</v>
      </c>
      <c r="O1008" s="8">
        <v>3</v>
      </c>
      <c r="P1008" s="2">
        <f t="shared" si="105"/>
        <v>2.3934233396720132E-2</v>
      </c>
      <c r="Q1008" s="3">
        <f t="shared" si="106"/>
        <v>1.5080487963414635</v>
      </c>
      <c r="R1008" s="4">
        <f t="shared" si="111"/>
        <v>1.8292682926829267E-2</v>
      </c>
      <c r="S1008" s="3">
        <f t="shared" si="107"/>
        <v>82.440000866666665</v>
      </c>
      <c r="T1008" s="4">
        <f t="shared" si="108"/>
        <v>0.75</v>
      </c>
      <c r="U1008" s="3">
        <f t="shared" si="109"/>
        <v>0.36093991865279457</v>
      </c>
      <c r="V1008" s="5">
        <f t="shared" si="110"/>
        <v>-0.39349830817121301</v>
      </c>
    </row>
    <row r="1009" spans="1:22" x14ac:dyDescent="0.3">
      <c r="A1009">
        <v>1122213</v>
      </c>
      <c r="B1009" s="1">
        <v>42974</v>
      </c>
      <c r="C1009" s="1">
        <v>42974</v>
      </c>
      <c r="D1009" s="6" t="s">
        <v>28</v>
      </c>
      <c r="E1009" s="6" t="s">
        <v>28</v>
      </c>
      <c r="F1009" s="7" t="s">
        <v>26</v>
      </c>
      <c r="G1009" s="7" t="s">
        <v>27</v>
      </c>
      <c r="H1009" s="7">
        <v>19</v>
      </c>
      <c r="I1009" s="7">
        <v>24</v>
      </c>
      <c r="J1009" s="7">
        <v>23</v>
      </c>
      <c r="K1009" s="7">
        <v>32781</v>
      </c>
      <c r="L1009" s="7">
        <v>7</v>
      </c>
      <c r="M1009" s="7">
        <v>11.200000169999999</v>
      </c>
      <c r="N1009" s="7">
        <v>2</v>
      </c>
      <c r="O1009" s="7">
        <v>2</v>
      </c>
      <c r="P1009" s="2">
        <f t="shared" si="105"/>
        <v>2.1353833013025837E-2</v>
      </c>
      <c r="Q1009" s="3">
        <f t="shared" si="106"/>
        <v>1.6000000242857142</v>
      </c>
      <c r="R1009" s="4">
        <f t="shared" si="111"/>
        <v>0.2857142857142857</v>
      </c>
      <c r="S1009" s="3">
        <f t="shared" si="107"/>
        <v>5.6000000849999996</v>
      </c>
      <c r="T1009" s="4">
        <f t="shared" si="108"/>
        <v>1</v>
      </c>
      <c r="U1009" s="3">
        <f t="shared" si="109"/>
        <v>0.34166133339434424</v>
      </c>
      <c r="V1009" s="5">
        <f t="shared" si="110"/>
        <v>7.9285712930484724</v>
      </c>
    </row>
    <row r="1010" spans="1:22" x14ac:dyDescent="0.3">
      <c r="A1010">
        <v>1122216</v>
      </c>
      <c r="B1010" s="1">
        <v>42974</v>
      </c>
      <c r="C1010" s="1">
        <v>42974</v>
      </c>
      <c r="D1010" s="6" t="s">
        <v>28</v>
      </c>
      <c r="E1010" s="6" t="s">
        <v>28</v>
      </c>
      <c r="F1010" s="8" t="s">
        <v>26</v>
      </c>
      <c r="G1010" s="8" t="s">
        <v>27</v>
      </c>
      <c r="H1010" s="8">
        <v>19</v>
      </c>
      <c r="I1010" s="8">
        <v>23</v>
      </c>
      <c r="J1010" s="8">
        <v>22</v>
      </c>
      <c r="K1010" s="8">
        <v>76785</v>
      </c>
      <c r="L1010" s="8">
        <v>19</v>
      </c>
      <c r="M1010" s="8">
        <v>25.459999979999999</v>
      </c>
      <c r="N1010" s="8">
        <v>3</v>
      </c>
      <c r="O1010" s="8">
        <v>0</v>
      </c>
      <c r="P1010" s="2">
        <f t="shared" si="105"/>
        <v>2.4744416227127697E-2</v>
      </c>
      <c r="Q1010" s="3">
        <f t="shared" si="106"/>
        <v>1.3399999989473683</v>
      </c>
      <c r="R1010" s="4">
        <f t="shared" si="111"/>
        <v>0</v>
      </c>
      <c r="S1010" s="3">
        <f t="shared" si="107"/>
        <v>0</v>
      </c>
      <c r="T1010" s="4">
        <f t="shared" si="108"/>
        <v>0</v>
      </c>
      <c r="U1010" s="3">
        <f t="shared" si="109"/>
        <v>0.33157517718304352</v>
      </c>
      <c r="V1010" s="5">
        <f t="shared" si="110"/>
        <v>-1</v>
      </c>
    </row>
    <row r="1011" spans="1:22" x14ac:dyDescent="0.3">
      <c r="A1011">
        <v>1122217</v>
      </c>
      <c r="B1011" s="1">
        <v>42974</v>
      </c>
      <c r="C1011" s="1">
        <v>42974</v>
      </c>
      <c r="D1011" s="6" t="s">
        <v>28</v>
      </c>
      <c r="E1011" s="6" t="s">
        <v>28</v>
      </c>
      <c r="F1011" s="7" t="s">
        <v>26</v>
      </c>
      <c r="G1011" s="7" t="s">
        <v>27</v>
      </c>
      <c r="H1011" s="7">
        <v>19</v>
      </c>
      <c r="I1011" s="7">
        <v>24</v>
      </c>
      <c r="J1011" s="7">
        <v>23</v>
      </c>
      <c r="K1011" s="7">
        <v>719083</v>
      </c>
      <c r="L1011" s="7">
        <v>206</v>
      </c>
      <c r="M1011" s="7">
        <v>299.52999829999999</v>
      </c>
      <c r="N1011" s="7">
        <v>12</v>
      </c>
      <c r="O1011" s="7">
        <v>5</v>
      </c>
      <c r="P1011" s="2">
        <f t="shared" si="105"/>
        <v>2.8647597008968368E-2</v>
      </c>
      <c r="Q1011" s="3">
        <f t="shared" si="106"/>
        <v>1.4540291179611651</v>
      </c>
      <c r="R1011" s="4">
        <f t="shared" si="111"/>
        <v>2.4271844660194174E-2</v>
      </c>
      <c r="S1011" s="3">
        <f t="shared" si="107"/>
        <v>59.905999659999999</v>
      </c>
      <c r="T1011" s="4">
        <f t="shared" si="108"/>
        <v>0.41666666666666669</v>
      </c>
      <c r="U1011" s="3">
        <f t="shared" si="109"/>
        <v>0.41654440210657179</v>
      </c>
      <c r="V1011" s="5">
        <f t="shared" si="110"/>
        <v>-0.16535905779424562</v>
      </c>
    </row>
    <row r="1012" spans="1:22" x14ac:dyDescent="0.3">
      <c r="A1012">
        <v>1122223</v>
      </c>
      <c r="B1012" s="1">
        <v>42974</v>
      </c>
      <c r="C1012" s="1">
        <v>42974</v>
      </c>
      <c r="D1012" s="6" t="s">
        <v>28</v>
      </c>
      <c r="E1012" s="6" t="s">
        <v>28</v>
      </c>
      <c r="F1012" s="8" t="s">
        <v>26</v>
      </c>
      <c r="G1012" s="8" t="s">
        <v>27</v>
      </c>
      <c r="H1012" s="8">
        <v>20</v>
      </c>
      <c r="I1012" s="8">
        <v>23</v>
      </c>
      <c r="J1012" s="8">
        <v>23</v>
      </c>
      <c r="K1012" s="8">
        <v>368480</v>
      </c>
      <c r="L1012" s="8">
        <v>107</v>
      </c>
      <c r="M1012" s="8">
        <v>140.42000110000001</v>
      </c>
      <c r="N1012" s="8">
        <v>5</v>
      </c>
      <c r="O1012" s="8">
        <v>4</v>
      </c>
      <c r="P1012" s="2">
        <f t="shared" si="105"/>
        <v>2.9038211029092487E-2</v>
      </c>
      <c r="Q1012" s="3">
        <f t="shared" si="106"/>
        <v>1.3123364588785047</v>
      </c>
      <c r="R1012" s="4">
        <f t="shared" si="111"/>
        <v>3.7383177570093455E-2</v>
      </c>
      <c r="S1012" s="3">
        <f t="shared" si="107"/>
        <v>35.105000275000002</v>
      </c>
      <c r="T1012" s="4">
        <f t="shared" si="108"/>
        <v>0.8</v>
      </c>
      <c r="U1012" s="3">
        <f t="shared" si="109"/>
        <v>0.38107903034085977</v>
      </c>
      <c r="V1012" s="5">
        <f t="shared" si="110"/>
        <v>0.42429852181506633</v>
      </c>
    </row>
    <row r="1013" spans="1:22" x14ac:dyDescent="0.3">
      <c r="A1013">
        <v>1122224</v>
      </c>
      <c r="B1013" s="1">
        <v>42974</v>
      </c>
      <c r="C1013" s="1">
        <v>42974</v>
      </c>
      <c r="D1013" s="6" t="s">
        <v>28</v>
      </c>
      <c r="E1013" s="6" t="s">
        <v>28</v>
      </c>
      <c r="F1013" s="7" t="s">
        <v>26</v>
      </c>
      <c r="G1013" s="7" t="s">
        <v>27</v>
      </c>
      <c r="H1013" s="7">
        <v>20</v>
      </c>
      <c r="I1013" s="7">
        <v>24</v>
      </c>
      <c r="J1013" s="7">
        <v>25</v>
      </c>
      <c r="K1013" s="7">
        <v>260945</v>
      </c>
      <c r="L1013" s="7">
        <v>73</v>
      </c>
      <c r="M1013" s="7">
        <v>100.8800011</v>
      </c>
      <c r="N1013" s="7">
        <v>2</v>
      </c>
      <c r="O1013" s="7">
        <v>2</v>
      </c>
      <c r="P1013" s="2">
        <f t="shared" si="105"/>
        <v>2.7975243825327175E-2</v>
      </c>
      <c r="Q1013" s="3">
        <f t="shared" si="106"/>
        <v>1.3819178232876712</v>
      </c>
      <c r="R1013" s="4">
        <f t="shared" si="111"/>
        <v>2.7397260273972601E-2</v>
      </c>
      <c r="S1013" s="3">
        <f t="shared" si="107"/>
        <v>50.440000550000001</v>
      </c>
      <c r="T1013" s="4">
        <f t="shared" si="108"/>
        <v>1</v>
      </c>
      <c r="U1013" s="3">
        <f t="shared" si="109"/>
        <v>0.38659488053037999</v>
      </c>
      <c r="V1013" s="5">
        <f t="shared" si="110"/>
        <v>-8.7232463362849951E-3</v>
      </c>
    </row>
    <row r="1014" spans="1:22" x14ac:dyDescent="0.3">
      <c r="A1014">
        <v>1122225</v>
      </c>
      <c r="B1014" s="1">
        <v>42974</v>
      </c>
      <c r="C1014" s="1">
        <v>42974</v>
      </c>
      <c r="D1014" s="6" t="s">
        <v>28</v>
      </c>
      <c r="E1014" s="6" t="s">
        <v>28</v>
      </c>
      <c r="F1014" s="8" t="s">
        <v>26</v>
      </c>
      <c r="G1014" s="8" t="s">
        <v>27</v>
      </c>
      <c r="H1014" s="8">
        <v>21</v>
      </c>
      <c r="I1014" s="8">
        <v>22</v>
      </c>
      <c r="J1014" s="8">
        <v>27</v>
      </c>
      <c r="K1014" s="8">
        <v>40998</v>
      </c>
      <c r="L1014" s="8">
        <v>10</v>
      </c>
      <c r="M1014" s="8">
        <v>13.350000380000001</v>
      </c>
      <c r="N1014" s="8">
        <v>1</v>
      </c>
      <c r="O1014" s="8">
        <v>0</v>
      </c>
      <c r="P1014" s="2">
        <f t="shared" si="105"/>
        <v>2.4391433728474559E-2</v>
      </c>
      <c r="Q1014" s="3">
        <f t="shared" si="106"/>
        <v>1.335000038</v>
      </c>
      <c r="R1014" s="4">
        <f t="shared" si="111"/>
        <v>0</v>
      </c>
      <c r="S1014" s="3">
        <f t="shared" si="107"/>
        <v>0</v>
      </c>
      <c r="T1014" s="4">
        <f t="shared" si="108"/>
        <v>0</v>
      </c>
      <c r="U1014" s="3">
        <f t="shared" si="109"/>
        <v>0.32562564954388024</v>
      </c>
      <c r="V1014" s="5">
        <f t="shared" si="110"/>
        <v>-1</v>
      </c>
    </row>
    <row r="1015" spans="1:22" x14ac:dyDescent="0.3">
      <c r="A1015">
        <v>1122227</v>
      </c>
      <c r="B1015" s="1">
        <v>42974</v>
      </c>
      <c r="C1015" s="1">
        <v>42974</v>
      </c>
      <c r="D1015" s="6" t="s">
        <v>28</v>
      </c>
      <c r="E1015" s="6" t="s">
        <v>28</v>
      </c>
      <c r="F1015" s="7" t="s">
        <v>26</v>
      </c>
      <c r="G1015" s="7" t="s">
        <v>27</v>
      </c>
      <c r="H1015" s="7">
        <v>21</v>
      </c>
      <c r="I1015" s="7">
        <v>27</v>
      </c>
      <c r="J1015" s="7">
        <v>26</v>
      </c>
      <c r="K1015" s="7">
        <v>183293</v>
      </c>
      <c r="L1015" s="7">
        <v>53</v>
      </c>
      <c r="M1015" s="7">
        <v>73.749999639999999</v>
      </c>
      <c r="N1015" s="7">
        <v>2</v>
      </c>
      <c r="O1015" s="7">
        <v>1</v>
      </c>
      <c r="P1015" s="2">
        <f t="shared" si="105"/>
        <v>2.8915452308598801E-2</v>
      </c>
      <c r="Q1015" s="3">
        <f t="shared" si="106"/>
        <v>1.3915094271698112</v>
      </c>
      <c r="R1015" s="4">
        <f t="shared" si="111"/>
        <v>1.8867924528301886E-2</v>
      </c>
      <c r="S1015" s="3">
        <f t="shared" si="107"/>
        <v>73.749999639999999</v>
      </c>
      <c r="T1015" s="4">
        <f t="shared" si="108"/>
        <v>0.5</v>
      </c>
      <c r="U1015" s="3">
        <f t="shared" si="109"/>
        <v>0.40236124478294316</v>
      </c>
      <c r="V1015" s="5">
        <f t="shared" si="110"/>
        <v>-0.32203389499569085</v>
      </c>
    </row>
    <row r="1016" spans="1:22" x14ac:dyDescent="0.3">
      <c r="A1016">
        <v>1122232</v>
      </c>
      <c r="B1016" s="1">
        <v>42974</v>
      </c>
      <c r="C1016" s="1">
        <v>42974</v>
      </c>
      <c r="D1016" s="6" t="s">
        <v>28</v>
      </c>
      <c r="E1016" s="6" t="s">
        <v>28</v>
      </c>
      <c r="F1016" s="8" t="s">
        <v>26</v>
      </c>
      <c r="G1016" s="8" t="s">
        <v>27</v>
      </c>
      <c r="H1016" s="8">
        <v>22</v>
      </c>
      <c r="I1016" s="8">
        <v>24</v>
      </c>
      <c r="J1016" s="8">
        <v>23</v>
      </c>
      <c r="K1016" s="8">
        <v>221561</v>
      </c>
      <c r="L1016" s="8">
        <v>55</v>
      </c>
      <c r="M1016" s="8">
        <v>76.759999160000007</v>
      </c>
      <c r="N1016" s="8">
        <v>1</v>
      </c>
      <c r="O1016" s="8">
        <v>0</v>
      </c>
      <c r="P1016" s="2">
        <f t="shared" si="105"/>
        <v>2.4823863405563255E-2</v>
      </c>
      <c r="Q1016" s="3">
        <f t="shared" si="106"/>
        <v>1.3956363483636365</v>
      </c>
      <c r="R1016" s="4">
        <f t="shared" si="111"/>
        <v>0</v>
      </c>
      <c r="S1016" s="3">
        <f t="shared" si="107"/>
        <v>0</v>
      </c>
      <c r="T1016" s="4">
        <f t="shared" si="108"/>
        <v>0</v>
      </c>
      <c r="U1016" s="3">
        <f t="shared" si="109"/>
        <v>0.34645086075618003</v>
      </c>
      <c r="V1016" s="5">
        <f t="shared" si="110"/>
        <v>-1</v>
      </c>
    </row>
    <row r="1017" spans="1:22" x14ac:dyDescent="0.3">
      <c r="A1017">
        <v>1122233</v>
      </c>
      <c r="B1017" s="1">
        <v>42966</v>
      </c>
      <c r="C1017" s="1">
        <v>42966</v>
      </c>
      <c r="D1017" s="6" t="s">
        <v>28</v>
      </c>
      <c r="E1017" s="6" t="s">
        <v>28</v>
      </c>
      <c r="F1017" s="7" t="s">
        <v>26</v>
      </c>
      <c r="G1017" s="7" t="s">
        <v>27</v>
      </c>
      <c r="H1017" s="7">
        <v>22</v>
      </c>
      <c r="I1017" s="7">
        <v>24</v>
      </c>
      <c r="J1017" s="7">
        <v>24</v>
      </c>
      <c r="K1017" s="7">
        <v>436943</v>
      </c>
      <c r="L1017" s="7">
        <v>109</v>
      </c>
      <c r="M1017" s="7">
        <v>145.81999740000001</v>
      </c>
      <c r="N1017" s="7">
        <v>1</v>
      </c>
      <c r="O1017" s="7">
        <v>1</v>
      </c>
      <c r="P1017" s="2">
        <f t="shared" si="105"/>
        <v>2.4946045594047735E-2</v>
      </c>
      <c r="Q1017" s="3">
        <f t="shared" si="106"/>
        <v>1.3377981412844038</v>
      </c>
      <c r="R1017" s="4">
        <f t="shared" si="111"/>
        <v>9.1743119266055051E-3</v>
      </c>
      <c r="S1017" s="3">
        <f t="shared" si="107"/>
        <v>145.81999740000001</v>
      </c>
      <c r="T1017" s="4">
        <f t="shared" si="108"/>
        <v>1</v>
      </c>
      <c r="U1017" s="3">
        <f t="shared" si="109"/>
        <v>0.33372773428113051</v>
      </c>
      <c r="V1017" s="5">
        <f t="shared" si="110"/>
        <v>-0.65711150122404272</v>
      </c>
    </row>
    <row r="1018" spans="1:22" x14ac:dyDescent="0.3">
      <c r="A1018">
        <v>1122240</v>
      </c>
      <c r="B1018" s="1">
        <v>42966</v>
      </c>
      <c r="C1018" s="1">
        <v>42966</v>
      </c>
      <c r="D1018" s="6" t="s">
        <v>28</v>
      </c>
      <c r="E1018" s="6" t="s">
        <v>28</v>
      </c>
      <c r="F1018" s="8" t="s">
        <v>26</v>
      </c>
      <c r="G1018" s="8" t="s">
        <v>27</v>
      </c>
      <c r="H1018" s="8">
        <v>23</v>
      </c>
      <c r="I1018" s="8">
        <v>26</v>
      </c>
      <c r="J1018" s="8">
        <v>26</v>
      </c>
      <c r="K1018" s="8">
        <v>284488</v>
      </c>
      <c r="L1018" s="8">
        <v>90</v>
      </c>
      <c r="M1018" s="8">
        <v>125.2700011</v>
      </c>
      <c r="N1018" s="8">
        <v>1</v>
      </c>
      <c r="O1018" s="8">
        <v>1</v>
      </c>
      <c r="P1018" s="2">
        <f t="shared" si="105"/>
        <v>3.1635780771069433E-2</v>
      </c>
      <c r="Q1018" s="3">
        <f t="shared" si="106"/>
        <v>1.3918889011111111</v>
      </c>
      <c r="R1018" s="4">
        <f t="shared" si="111"/>
        <v>1.1111111111111112E-2</v>
      </c>
      <c r="S1018" s="3">
        <f t="shared" si="107"/>
        <v>125.2700011</v>
      </c>
      <c r="T1018" s="4">
        <f t="shared" si="108"/>
        <v>1</v>
      </c>
      <c r="U1018" s="3">
        <f t="shared" si="109"/>
        <v>0.44033492133235852</v>
      </c>
      <c r="V1018" s="5">
        <f t="shared" si="110"/>
        <v>-0.6008621412872327</v>
      </c>
    </row>
    <row r="1019" spans="1:22" x14ac:dyDescent="0.3">
      <c r="A1019">
        <v>1122244</v>
      </c>
      <c r="B1019" s="1">
        <v>42972</v>
      </c>
      <c r="C1019" s="1">
        <v>42972</v>
      </c>
      <c r="D1019" s="6" t="s">
        <v>28</v>
      </c>
      <c r="E1019" s="6" t="s">
        <v>28</v>
      </c>
      <c r="F1019" s="7" t="s">
        <v>26</v>
      </c>
      <c r="G1019" s="7" t="s">
        <v>27</v>
      </c>
      <c r="H1019" s="7">
        <v>24</v>
      </c>
      <c r="I1019" s="7">
        <v>26</v>
      </c>
      <c r="J1019" s="7">
        <v>26</v>
      </c>
      <c r="K1019" s="7">
        <v>85083</v>
      </c>
      <c r="L1019" s="7">
        <v>32</v>
      </c>
      <c r="M1019" s="7">
        <v>38.629999759999997</v>
      </c>
      <c r="N1019" s="7">
        <v>1</v>
      </c>
      <c r="O1019" s="7">
        <v>1</v>
      </c>
      <c r="P1019" s="2">
        <f t="shared" si="105"/>
        <v>3.7610333439112395E-2</v>
      </c>
      <c r="Q1019" s="3">
        <f t="shared" si="106"/>
        <v>1.2071874924999999</v>
      </c>
      <c r="R1019" s="4">
        <f t="shared" si="111"/>
        <v>3.125E-2</v>
      </c>
      <c r="S1019" s="3">
        <f t="shared" si="107"/>
        <v>38.629999759999997</v>
      </c>
      <c r="T1019" s="4">
        <f t="shared" si="108"/>
        <v>1</v>
      </c>
      <c r="U1019" s="3">
        <f t="shared" si="109"/>
        <v>0.45402724116450993</v>
      </c>
      <c r="V1019" s="5">
        <f t="shared" si="110"/>
        <v>0.29433083900179668</v>
      </c>
    </row>
    <row r="1020" spans="1:22" x14ac:dyDescent="0.3">
      <c r="A1020">
        <v>1122246</v>
      </c>
      <c r="B1020" s="1">
        <v>42972</v>
      </c>
      <c r="C1020" s="1">
        <v>42972</v>
      </c>
      <c r="D1020" s="6" t="s">
        <v>28</v>
      </c>
      <c r="E1020" s="6" t="s">
        <v>28</v>
      </c>
      <c r="F1020" s="8" t="s">
        <v>26</v>
      </c>
      <c r="G1020" s="8" t="s">
        <v>27</v>
      </c>
      <c r="H1020" s="8">
        <v>24</v>
      </c>
      <c r="I1020" s="8">
        <v>28</v>
      </c>
      <c r="J1020" s="8">
        <v>25</v>
      </c>
      <c r="K1020" s="8">
        <v>14167</v>
      </c>
      <c r="L1020" s="8">
        <v>5</v>
      </c>
      <c r="M1020" s="8">
        <v>7.1399999860000003</v>
      </c>
      <c r="N1020" s="8">
        <v>1</v>
      </c>
      <c r="O1020" s="8">
        <v>0</v>
      </c>
      <c r="P1020" s="2">
        <f t="shared" si="105"/>
        <v>3.5293287216771364E-2</v>
      </c>
      <c r="Q1020" s="3">
        <f t="shared" si="106"/>
        <v>1.4279999972000001</v>
      </c>
      <c r="R1020" s="4">
        <f t="shared" si="111"/>
        <v>0</v>
      </c>
      <c r="S1020" s="3">
        <f t="shared" si="107"/>
        <v>0</v>
      </c>
      <c r="T1020" s="4">
        <f t="shared" si="108"/>
        <v>0</v>
      </c>
      <c r="U1020" s="3">
        <f t="shared" si="109"/>
        <v>0.50398814046728313</v>
      </c>
      <c r="V1020" s="5">
        <f t="shared" si="110"/>
        <v>-1</v>
      </c>
    </row>
    <row r="1021" spans="1:22" x14ac:dyDescent="0.3">
      <c r="A1021">
        <v>1122249</v>
      </c>
      <c r="B1021" s="1">
        <v>42971</v>
      </c>
      <c r="C1021" s="1">
        <v>42971</v>
      </c>
      <c r="D1021" s="6" t="s">
        <v>28</v>
      </c>
      <c r="E1021" s="6" t="s">
        <v>28</v>
      </c>
      <c r="F1021" s="7" t="s">
        <v>26</v>
      </c>
      <c r="G1021" s="7" t="s">
        <v>27</v>
      </c>
      <c r="H1021" s="7">
        <v>25</v>
      </c>
      <c r="I1021" s="7">
        <v>29</v>
      </c>
      <c r="J1021" s="7">
        <v>28</v>
      </c>
      <c r="K1021" s="7">
        <v>300637</v>
      </c>
      <c r="L1021" s="7">
        <v>84</v>
      </c>
      <c r="M1021" s="7">
        <v>116.98999809999999</v>
      </c>
      <c r="N1021" s="7">
        <v>2</v>
      </c>
      <c r="O1021" s="7">
        <v>0</v>
      </c>
      <c r="P1021" s="2">
        <f t="shared" si="105"/>
        <v>2.7940672638431068E-2</v>
      </c>
      <c r="Q1021" s="3">
        <f t="shared" si="106"/>
        <v>1.3927380726190475</v>
      </c>
      <c r="R1021" s="4">
        <f t="shared" si="111"/>
        <v>0</v>
      </c>
      <c r="S1021" s="3">
        <f t="shared" si="107"/>
        <v>0</v>
      </c>
      <c r="T1021" s="4">
        <f t="shared" si="108"/>
        <v>0</v>
      </c>
      <c r="U1021" s="3">
        <f t="shared" si="109"/>
        <v>0.38914038558128239</v>
      </c>
      <c r="V1021" s="5">
        <f t="shared" si="110"/>
        <v>-1</v>
      </c>
    </row>
    <row r="1022" spans="1:22" x14ac:dyDescent="0.3">
      <c r="A1022">
        <v>1122253</v>
      </c>
      <c r="B1022" s="1">
        <v>42972</v>
      </c>
      <c r="C1022" s="1">
        <v>42972</v>
      </c>
      <c r="D1022" s="6" t="s">
        <v>28</v>
      </c>
      <c r="E1022" s="6" t="s">
        <v>28</v>
      </c>
      <c r="F1022" s="8" t="s">
        <v>26</v>
      </c>
      <c r="G1022" s="8" t="s">
        <v>27</v>
      </c>
      <c r="H1022" s="8">
        <v>25</v>
      </c>
      <c r="I1022" s="8">
        <v>27</v>
      </c>
      <c r="J1022" s="8">
        <v>28</v>
      </c>
      <c r="K1022" s="8">
        <v>449921</v>
      </c>
      <c r="L1022" s="8">
        <v>129</v>
      </c>
      <c r="M1022" s="8">
        <v>175.9700005</v>
      </c>
      <c r="N1022" s="8">
        <v>5</v>
      </c>
      <c r="O1022" s="8">
        <v>1</v>
      </c>
      <c r="P1022" s="2">
        <f t="shared" si="105"/>
        <v>2.8671700142913977E-2</v>
      </c>
      <c r="Q1022" s="3">
        <f t="shared" si="106"/>
        <v>1.3641085310077519</v>
      </c>
      <c r="R1022" s="4">
        <f t="shared" si="111"/>
        <v>7.7519379844961239E-3</v>
      </c>
      <c r="S1022" s="3">
        <f t="shared" si="107"/>
        <v>175.9700005</v>
      </c>
      <c r="T1022" s="4">
        <f t="shared" si="108"/>
        <v>0.2</v>
      </c>
      <c r="U1022" s="3">
        <f t="shared" si="109"/>
        <v>0.3911131076344514</v>
      </c>
      <c r="V1022" s="5">
        <f t="shared" si="110"/>
        <v>-0.71586065887406758</v>
      </c>
    </row>
    <row r="1023" spans="1:22" x14ac:dyDescent="0.3">
      <c r="A1023">
        <v>1122254</v>
      </c>
      <c r="B1023" s="1">
        <v>42972</v>
      </c>
      <c r="C1023" s="1">
        <v>42972</v>
      </c>
      <c r="D1023" s="6" t="s">
        <v>28</v>
      </c>
      <c r="E1023" s="6" t="s">
        <v>28</v>
      </c>
      <c r="F1023" s="7" t="s">
        <v>26</v>
      </c>
      <c r="G1023" s="7" t="s">
        <v>27</v>
      </c>
      <c r="H1023" s="7">
        <v>25</v>
      </c>
      <c r="I1023" s="7">
        <v>31</v>
      </c>
      <c r="J1023" s="7">
        <v>31</v>
      </c>
      <c r="K1023" s="7">
        <v>282899</v>
      </c>
      <c r="L1023" s="7">
        <v>71</v>
      </c>
      <c r="M1023" s="7">
        <v>105.6600007</v>
      </c>
      <c r="N1023" s="7">
        <v>1</v>
      </c>
      <c r="O1023" s="7">
        <v>0</v>
      </c>
      <c r="P1023" s="2">
        <f t="shared" si="105"/>
        <v>2.5097296208187372E-2</v>
      </c>
      <c r="Q1023" s="3">
        <f t="shared" si="106"/>
        <v>1.488169023943662</v>
      </c>
      <c r="R1023" s="4">
        <f t="shared" si="111"/>
        <v>0</v>
      </c>
      <c r="S1023" s="3">
        <f t="shared" si="107"/>
        <v>0</v>
      </c>
      <c r="T1023" s="4">
        <f t="shared" si="108"/>
        <v>0</v>
      </c>
      <c r="U1023" s="3">
        <f t="shared" si="109"/>
        <v>0.37349018801763173</v>
      </c>
      <c r="V1023" s="5">
        <f t="shared" si="110"/>
        <v>-1</v>
      </c>
    </row>
    <row r="1024" spans="1:22" x14ac:dyDescent="0.3">
      <c r="A1024">
        <v>1122257</v>
      </c>
      <c r="B1024" s="1">
        <v>42972</v>
      </c>
      <c r="C1024" s="1">
        <v>42972</v>
      </c>
      <c r="D1024" s="6" t="s">
        <v>28</v>
      </c>
      <c r="E1024" s="6" t="s">
        <v>28</v>
      </c>
      <c r="F1024" s="8" t="s">
        <v>26</v>
      </c>
      <c r="G1024" s="8" t="s">
        <v>27</v>
      </c>
      <c r="H1024" s="8">
        <v>26</v>
      </c>
      <c r="I1024" s="8">
        <v>29</v>
      </c>
      <c r="J1024" s="8">
        <v>32</v>
      </c>
      <c r="K1024" s="8">
        <v>669671</v>
      </c>
      <c r="L1024" s="8">
        <v>186</v>
      </c>
      <c r="M1024" s="8">
        <v>259.17999880000002</v>
      </c>
      <c r="N1024" s="8">
        <v>4</v>
      </c>
      <c r="O1024" s="8">
        <v>1</v>
      </c>
      <c r="P1024" s="2">
        <f t="shared" si="105"/>
        <v>2.7774832716363707E-2</v>
      </c>
      <c r="Q1024" s="3">
        <f t="shared" si="106"/>
        <v>1.3934408537634411</v>
      </c>
      <c r="R1024" s="4">
        <f t="shared" si="111"/>
        <v>5.3763440860215058E-3</v>
      </c>
      <c r="S1024" s="3">
        <f t="shared" si="107"/>
        <v>259.17999880000002</v>
      </c>
      <c r="T1024" s="4">
        <f t="shared" si="108"/>
        <v>0.25</v>
      </c>
      <c r="U1024" s="3">
        <f t="shared" si="109"/>
        <v>0.38702586613426598</v>
      </c>
      <c r="V1024" s="5">
        <f t="shared" si="110"/>
        <v>-0.80708387903580781</v>
      </c>
    </row>
    <row r="1025" spans="1:22" x14ac:dyDescent="0.3">
      <c r="A1025">
        <v>1122258</v>
      </c>
      <c r="B1025" s="1">
        <v>42972</v>
      </c>
      <c r="C1025" s="1">
        <v>42972</v>
      </c>
      <c r="D1025" s="6" t="s">
        <v>28</v>
      </c>
      <c r="E1025" s="6" t="s">
        <v>28</v>
      </c>
      <c r="F1025" s="7" t="s">
        <v>26</v>
      </c>
      <c r="G1025" s="7" t="s">
        <v>27</v>
      </c>
      <c r="H1025" s="7">
        <v>26</v>
      </c>
      <c r="I1025" s="7">
        <v>28</v>
      </c>
      <c r="J1025" s="7">
        <v>30</v>
      </c>
      <c r="K1025" s="7">
        <v>108655</v>
      </c>
      <c r="L1025" s="7">
        <v>28</v>
      </c>
      <c r="M1025" s="7">
        <v>46.920001859999999</v>
      </c>
      <c r="N1025" s="7">
        <v>1</v>
      </c>
      <c r="O1025" s="7">
        <v>0</v>
      </c>
      <c r="P1025" s="2">
        <f t="shared" si="105"/>
        <v>2.5769637844553866E-2</v>
      </c>
      <c r="Q1025" s="3">
        <f t="shared" si="106"/>
        <v>1.675714352142857</v>
      </c>
      <c r="R1025" s="4">
        <f t="shared" si="111"/>
        <v>0</v>
      </c>
      <c r="S1025" s="3">
        <f t="shared" si="107"/>
        <v>0</v>
      </c>
      <c r="T1025" s="4">
        <f t="shared" si="108"/>
        <v>0</v>
      </c>
      <c r="U1025" s="3">
        <f t="shared" si="109"/>
        <v>0.43182551985642631</v>
      </c>
      <c r="V1025" s="5">
        <f t="shared" si="110"/>
        <v>-1</v>
      </c>
    </row>
    <row r="1026" spans="1:22" x14ac:dyDescent="0.3">
      <c r="A1026">
        <v>1122260</v>
      </c>
      <c r="B1026" s="1">
        <v>42972</v>
      </c>
      <c r="C1026" s="1">
        <v>42972</v>
      </c>
      <c r="D1026" s="6" t="s">
        <v>28</v>
      </c>
      <c r="E1026" s="6" t="s">
        <v>28</v>
      </c>
      <c r="F1026" s="8" t="s">
        <v>26</v>
      </c>
      <c r="G1026" s="8" t="s">
        <v>27</v>
      </c>
      <c r="H1026" s="8">
        <v>26</v>
      </c>
      <c r="I1026" s="8">
        <v>32</v>
      </c>
      <c r="J1026" s="8">
        <v>31</v>
      </c>
      <c r="K1026" s="8">
        <v>536248</v>
      </c>
      <c r="L1026" s="8">
        <v>146</v>
      </c>
      <c r="M1026" s="8">
        <v>187.7399978</v>
      </c>
      <c r="N1026" s="8">
        <v>3</v>
      </c>
      <c r="O1026" s="8">
        <v>0</v>
      </c>
      <c r="P1026" s="2">
        <f t="shared" ref="P1026:P1089" si="112">IF(K1026&gt;0, (L1026/K1026)*100, 0)</f>
        <v>2.7226208769076995E-2</v>
      </c>
      <c r="Q1026" s="3">
        <f t="shared" ref="Q1026:Q1089" si="113">IF(L1026&gt;0, M1026/L1026, 0)</f>
        <v>1.2858903958904109</v>
      </c>
      <c r="R1026" s="4">
        <f t="shared" si="111"/>
        <v>0</v>
      </c>
      <c r="S1026" s="3">
        <f t="shared" ref="S1026:S1089" si="114">IF(O1026&gt;0, M1026/O1026, 0)</f>
        <v>0</v>
      </c>
      <c r="T1026" s="4">
        <f t="shared" ref="T1026:T1089" si="115">IF(N1026&gt;0, O1026/N1026, 0)</f>
        <v>0</v>
      </c>
      <c r="U1026" s="3">
        <f t="shared" ref="U1026:U1089" si="116">IF(K1026&gt;0, (M1026/K1026)*1000, 0)</f>
        <v>0.35009920372663395</v>
      </c>
      <c r="V1026" s="5">
        <f t="shared" ref="V1026:V1089" si="117">IF(M1026&gt;0, ((O1026*50)-M1026)/M1026, 0)</f>
        <v>-1</v>
      </c>
    </row>
    <row r="1027" spans="1:22" x14ac:dyDescent="0.3">
      <c r="A1027">
        <v>1122262</v>
      </c>
      <c r="B1027" s="1">
        <v>42971</v>
      </c>
      <c r="C1027" s="1">
        <v>42971</v>
      </c>
      <c r="D1027" s="6" t="s">
        <v>28</v>
      </c>
      <c r="E1027" s="6" t="s">
        <v>28</v>
      </c>
      <c r="F1027" s="7" t="s">
        <v>26</v>
      </c>
      <c r="G1027" s="7" t="s">
        <v>27</v>
      </c>
      <c r="H1027" s="7">
        <v>27</v>
      </c>
      <c r="I1027" s="7">
        <v>29</v>
      </c>
      <c r="J1027" s="7">
        <v>30</v>
      </c>
      <c r="K1027" s="7">
        <v>1055017</v>
      </c>
      <c r="L1027" s="7">
        <v>265</v>
      </c>
      <c r="M1027" s="7">
        <v>380.65999520000003</v>
      </c>
      <c r="N1027" s="7">
        <v>16</v>
      </c>
      <c r="O1027" s="7">
        <v>2</v>
      </c>
      <c r="P1027" s="2">
        <f t="shared" si="112"/>
        <v>2.5118078666030975E-2</v>
      </c>
      <c r="Q1027" s="3">
        <f t="shared" si="113"/>
        <v>1.4364528120754718</v>
      </c>
      <c r="R1027" s="4">
        <f t="shared" ref="R1027:R1090" si="118">IF(L1027&gt;0, O1027/L1027, 0)</f>
        <v>7.5471698113207548E-3</v>
      </c>
      <c r="S1027" s="3">
        <f t="shared" si="114"/>
        <v>190.32999760000001</v>
      </c>
      <c r="T1027" s="4">
        <f t="shared" si="115"/>
        <v>0.125</v>
      </c>
      <c r="U1027" s="3">
        <f t="shared" si="116"/>
        <v>0.36080934733753112</v>
      </c>
      <c r="V1027" s="5">
        <f t="shared" si="117"/>
        <v>-0.73729837319138392</v>
      </c>
    </row>
    <row r="1028" spans="1:22" x14ac:dyDescent="0.3">
      <c r="A1028">
        <v>1122265</v>
      </c>
      <c r="B1028" s="1">
        <v>42971</v>
      </c>
      <c r="C1028" s="1">
        <v>42971</v>
      </c>
      <c r="D1028" s="6" t="s">
        <v>28</v>
      </c>
      <c r="E1028" s="6" t="s">
        <v>28</v>
      </c>
      <c r="F1028" s="8" t="s">
        <v>26</v>
      </c>
      <c r="G1028" s="8" t="s">
        <v>27</v>
      </c>
      <c r="H1028" s="8">
        <v>27</v>
      </c>
      <c r="I1028" s="8">
        <v>30</v>
      </c>
      <c r="J1028" s="8">
        <v>28</v>
      </c>
      <c r="K1028" s="8">
        <v>1428421</v>
      </c>
      <c r="L1028" s="8">
        <v>367</v>
      </c>
      <c r="M1028" s="8">
        <v>541.70000230000005</v>
      </c>
      <c r="N1028" s="8">
        <v>10</v>
      </c>
      <c r="O1028" s="8">
        <v>0</v>
      </c>
      <c r="P1028" s="2">
        <f t="shared" si="112"/>
        <v>2.569270544188303E-2</v>
      </c>
      <c r="Q1028" s="3">
        <f t="shared" si="113"/>
        <v>1.4760218046321527</v>
      </c>
      <c r="R1028" s="4">
        <f t="shared" si="118"/>
        <v>0</v>
      </c>
      <c r="S1028" s="3">
        <f t="shared" si="114"/>
        <v>0</v>
      </c>
      <c r="T1028" s="4">
        <f t="shared" si="115"/>
        <v>0</v>
      </c>
      <c r="U1028" s="3">
        <f t="shared" si="116"/>
        <v>0.37922993452210524</v>
      </c>
      <c r="V1028" s="5">
        <f t="shared" si="117"/>
        <v>-1</v>
      </c>
    </row>
    <row r="1029" spans="1:22" x14ac:dyDescent="0.3">
      <c r="A1029">
        <v>1122266</v>
      </c>
      <c r="B1029" s="1">
        <v>42971</v>
      </c>
      <c r="C1029" s="1">
        <v>42971</v>
      </c>
      <c r="D1029" s="6" t="s">
        <v>28</v>
      </c>
      <c r="E1029" s="6" t="s">
        <v>28</v>
      </c>
      <c r="F1029" s="7" t="s">
        <v>26</v>
      </c>
      <c r="G1029" s="7" t="s">
        <v>27</v>
      </c>
      <c r="H1029" s="7">
        <v>27</v>
      </c>
      <c r="I1029" s="7">
        <v>31</v>
      </c>
      <c r="J1029" s="7">
        <v>30</v>
      </c>
      <c r="K1029" s="7">
        <v>1088027</v>
      </c>
      <c r="L1029" s="7">
        <v>272</v>
      </c>
      <c r="M1029" s="7">
        <v>409.56000260000002</v>
      </c>
      <c r="N1029" s="7">
        <v>9</v>
      </c>
      <c r="O1029" s="7">
        <v>4</v>
      </c>
      <c r="P1029" s="2">
        <f t="shared" si="112"/>
        <v>2.4999379610983918E-2</v>
      </c>
      <c r="Q1029" s="3">
        <f t="shared" si="113"/>
        <v>1.5057353036764707</v>
      </c>
      <c r="R1029" s="4">
        <f t="shared" si="118"/>
        <v>1.4705882352941176E-2</v>
      </c>
      <c r="S1029" s="3">
        <f t="shared" si="114"/>
        <v>102.39000065</v>
      </c>
      <c r="T1029" s="4">
        <f t="shared" si="115"/>
        <v>0.44444444444444442</v>
      </c>
      <c r="U1029" s="3">
        <f t="shared" si="116"/>
        <v>0.3764244845026824</v>
      </c>
      <c r="V1029" s="5">
        <f t="shared" si="117"/>
        <v>-0.51167106472715895</v>
      </c>
    </row>
    <row r="1030" spans="1:22" x14ac:dyDescent="0.3">
      <c r="A1030">
        <v>1122267</v>
      </c>
      <c r="B1030" s="1">
        <v>42970</v>
      </c>
      <c r="C1030" s="1">
        <v>42970</v>
      </c>
      <c r="D1030" s="6" t="s">
        <v>28</v>
      </c>
      <c r="E1030" s="6" t="s">
        <v>28</v>
      </c>
      <c r="F1030" s="8" t="s">
        <v>26</v>
      </c>
      <c r="G1030" s="8" t="s">
        <v>27</v>
      </c>
      <c r="H1030" s="8">
        <v>28</v>
      </c>
      <c r="I1030" s="8">
        <v>29</v>
      </c>
      <c r="J1030" s="8">
        <v>33</v>
      </c>
      <c r="K1030" s="8">
        <v>288517</v>
      </c>
      <c r="L1030" s="8">
        <v>78</v>
      </c>
      <c r="M1030" s="8">
        <v>102.3900002</v>
      </c>
      <c r="N1030" s="8">
        <v>3</v>
      </c>
      <c r="O1030" s="8">
        <v>0</v>
      </c>
      <c r="P1030" s="2">
        <f t="shared" si="112"/>
        <v>2.7034802108714565E-2</v>
      </c>
      <c r="Q1030" s="3">
        <f t="shared" si="113"/>
        <v>1.3126923102564103</v>
      </c>
      <c r="R1030" s="4">
        <f t="shared" si="118"/>
        <v>0</v>
      </c>
      <c r="S1030" s="3">
        <f t="shared" si="114"/>
        <v>0</v>
      </c>
      <c r="T1030" s="4">
        <f t="shared" si="115"/>
        <v>0</v>
      </c>
      <c r="U1030" s="3">
        <f t="shared" si="116"/>
        <v>0.35488376837413399</v>
      </c>
      <c r="V1030" s="5">
        <f t="shared" si="117"/>
        <v>-1</v>
      </c>
    </row>
    <row r="1031" spans="1:22" x14ac:dyDescent="0.3">
      <c r="A1031">
        <v>1122268</v>
      </c>
      <c r="B1031" s="1">
        <v>42970</v>
      </c>
      <c r="C1031" s="1">
        <v>42970</v>
      </c>
      <c r="D1031" s="6" t="s">
        <v>28</v>
      </c>
      <c r="E1031" s="6" t="s">
        <v>28</v>
      </c>
      <c r="F1031" s="7" t="s">
        <v>26</v>
      </c>
      <c r="G1031" s="7" t="s">
        <v>27</v>
      </c>
      <c r="H1031" s="7">
        <v>28</v>
      </c>
      <c r="I1031" s="7">
        <v>31</v>
      </c>
      <c r="J1031" s="7">
        <v>30</v>
      </c>
      <c r="K1031" s="7">
        <v>202231</v>
      </c>
      <c r="L1031" s="7">
        <v>53</v>
      </c>
      <c r="M1031" s="7">
        <v>67.130001070000006</v>
      </c>
      <c r="N1031" s="7">
        <v>3</v>
      </c>
      <c r="O1031" s="7">
        <v>1</v>
      </c>
      <c r="P1031" s="2">
        <f t="shared" si="112"/>
        <v>2.6207653623826221E-2</v>
      </c>
      <c r="Q1031" s="3">
        <f t="shared" si="113"/>
        <v>1.266603793773585</v>
      </c>
      <c r="R1031" s="4">
        <f t="shared" si="118"/>
        <v>1.8867924528301886E-2</v>
      </c>
      <c r="S1031" s="3">
        <f t="shared" si="114"/>
        <v>67.130001070000006</v>
      </c>
      <c r="T1031" s="4">
        <f t="shared" si="115"/>
        <v>0.33333333333333331</v>
      </c>
      <c r="U1031" s="3">
        <f t="shared" si="116"/>
        <v>0.33194713505842327</v>
      </c>
      <c r="V1031" s="5">
        <f t="shared" si="117"/>
        <v>-0.25517653503591703</v>
      </c>
    </row>
    <row r="1032" spans="1:22" x14ac:dyDescent="0.3">
      <c r="A1032">
        <v>1122270</v>
      </c>
      <c r="B1032" s="1">
        <v>42971</v>
      </c>
      <c r="C1032" s="1">
        <v>42971</v>
      </c>
      <c r="D1032" s="6" t="s">
        <v>28</v>
      </c>
      <c r="E1032" s="6" t="s">
        <v>28</v>
      </c>
      <c r="F1032" s="8" t="s">
        <v>26</v>
      </c>
      <c r="G1032" s="8" t="s">
        <v>27</v>
      </c>
      <c r="H1032" s="8">
        <v>28</v>
      </c>
      <c r="I1032" s="8">
        <v>34</v>
      </c>
      <c r="J1032" s="8">
        <v>32</v>
      </c>
      <c r="K1032" s="8">
        <v>73222</v>
      </c>
      <c r="L1032" s="8">
        <v>16</v>
      </c>
      <c r="M1032" s="8">
        <v>22.860000249999999</v>
      </c>
      <c r="N1032" s="8">
        <v>1</v>
      </c>
      <c r="O1032" s="8">
        <v>0</v>
      </c>
      <c r="P1032" s="2">
        <f t="shared" si="112"/>
        <v>2.1851356149791046E-2</v>
      </c>
      <c r="Q1032" s="3">
        <f t="shared" si="113"/>
        <v>1.4287500156249999</v>
      </c>
      <c r="R1032" s="4">
        <f t="shared" si="118"/>
        <v>0</v>
      </c>
      <c r="S1032" s="3">
        <f t="shared" si="114"/>
        <v>0</v>
      </c>
      <c r="T1032" s="4">
        <f t="shared" si="115"/>
        <v>0</v>
      </c>
      <c r="U1032" s="3">
        <f t="shared" si="116"/>
        <v>0.31220125440441393</v>
      </c>
      <c r="V1032" s="5">
        <f t="shared" si="117"/>
        <v>-1</v>
      </c>
    </row>
    <row r="1033" spans="1:22" x14ac:dyDescent="0.3">
      <c r="A1033">
        <v>1122271</v>
      </c>
      <c r="B1033" s="1">
        <v>42971</v>
      </c>
      <c r="C1033" s="1">
        <v>42971</v>
      </c>
      <c r="D1033" s="6" t="s">
        <v>28</v>
      </c>
      <c r="E1033" s="6" t="s">
        <v>28</v>
      </c>
      <c r="F1033" s="7" t="s">
        <v>26</v>
      </c>
      <c r="G1033" s="7" t="s">
        <v>27</v>
      </c>
      <c r="H1033" s="7">
        <v>28</v>
      </c>
      <c r="I1033" s="7">
        <v>29</v>
      </c>
      <c r="J1033" s="7">
        <v>34</v>
      </c>
      <c r="K1033" s="7">
        <v>348542</v>
      </c>
      <c r="L1033" s="7">
        <v>96</v>
      </c>
      <c r="M1033" s="7">
        <v>134.88999899999999</v>
      </c>
      <c r="N1033" s="7">
        <v>2</v>
      </c>
      <c r="O1033" s="7">
        <v>0</v>
      </c>
      <c r="P1033" s="2">
        <f t="shared" si="112"/>
        <v>2.7543308984283098E-2</v>
      </c>
      <c r="Q1033" s="3">
        <f t="shared" si="113"/>
        <v>1.40510415625</v>
      </c>
      <c r="R1033" s="4">
        <f t="shared" si="118"/>
        <v>0</v>
      </c>
      <c r="S1033" s="3">
        <f t="shared" si="114"/>
        <v>0</v>
      </c>
      <c r="T1033" s="4">
        <f t="shared" si="115"/>
        <v>0</v>
      </c>
      <c r="U1033" s="3">
        <f t="shared" si="116"/>
        <v>0.38701217930694148</v>
      </c>
      <c r="V1033" s="5">
        <f t="shared" si="117"/>
        <v>-1</v>
      </c>
    </row>
    <row r="1034" spans="1:22" x14ac:dyDescent="0.3">
      <c r="A1034">
        <v>1122273</v>
      </c>
      <c r="B1034" s="1">
        <v>42971</v>
      </c>
      <c r="C1034" s="1">
        <v>42971</v>
      </c>
      <c r="D1034" s="6" t="s">
        <v>28</v>
      </c>
      <c r="E1034" s="6" t="s">
        <v>28</v>
      </c>
      <c r="F1034" s="8" t="s">
        <v>26</v>
      </c>
      <c r="G1034" s="8" t="s">
        <v>27</v>
      </c>
      <c r="H1034" s="8">
        <v>29</v>
      </c>
      <c r="I1034" s="8">
        <v>32</v>
      </c>
      <c r="J1034" s="8">
        <v>30</v>
      </c>
      <c r="K1034" s="8">
        <v>1097966</v>
      </c>
      <c r="L1034" s="8">
        <v>266</v>
      </c>
      <c r="M1034" s="8">
        <v>369.069997</v>
      </c>
      <c r="N1034" s="8">
        <v>16</v>
      </c>
      <c r="O1034" s="8">
        <v>8</v>
      </c>
      <c r="P1034" s="2">
        <f t="shared" si="112"/>
        <v>2.4226615396105159E-2</v>
      </c>
      <c r="Q1034" s="3">
        <f t="shared" si="113"/>
        <v>1.3874811917293233</v>
      </c>
      <c r="R1034" s="4">
        <f t="shared" si="118"/>
        <v>3.007518796992481E-2</v>
      </c>
      <c r="S1034" s="3">
        <f t="shared" si="114"/>
        <v>46.133749625</v>
      </c>
      <c r="T1034" s="4">
        <f t="shared" si="115"/>
        <v>0.5</v>
      </c>
      <c r="U1034" s="3">
        <f t="shared" si="116"/>
        <v>0.33613973201355962</v>
      </c>
      <c r="V1034" s="5">
        <f t="shared" si="117"/>
        <v>8.3805249008089916E-2</v>
      </c>
    </row>
    <row r="1035" spans="1:22" x14ac:dyDescent="0.3">
      <c r="A1035">
        <v>1122274</v>
      </c>
      <c r="B1035" s="1">
        <v>42971</v>
      </c>
      <c r="C1035" s="1">
        <v>42971</v>
      </c>
      <c r="D1035" s="6" t="s">
        <v>28</v>
      </c>
      <c r="E1035" s="6" t="s">
        <v>28</v>
      </c>
      <c r="F1035" s="7" t="s">
        <v>26</v>
      </c>
      <c r="G1035" s="7" t="s">
        <v>27</v>
      </c>
      <c r="H1035" s="7">
        <v>29</v>
      </c>
      <c r="I1035" s="7">
        <v>33</v>
      </c>
      <c r="J1035" s="7">
        <v>31</v>
      </c>
      <c r="K1035" s="7">
        <v>526923</v>
      </c>
      <c r="L1035" s="7">
        <v>138</v>
      </c>
      <c r="M1035" s="7">
        <v>198.0899972</v>
      </c>
      <c r="N1035" s="7">
        <v>2</v>
      </c>
      <c r="O1035" s="7">
        <v>1</v>
      </c>
      <c r="P1035" s="2">
        <f t="shared" si="112"/>
        <v>2.6189784845224062E-2</v>
      </c>
      <c r="Q1035" s="3">
        <f t="shared" si="113"/>
        <v>1.4354347623188406</v>
      </c>
      <c r="R1035" s="4">
        <f t="shared" si="118"/>
        <v>7.246376811594203E-3</v>
      </c>
      <c r="S1035" s="3">
        <f t="shared" si="114"/>
        <v>198.0899972</v>
      </c>
      <c r="T1035" s="4">
        <f t="shared" si="115"/>
        <v>0.5</v>
      </c>
      <c r="U1035" s="3">
        <f t="shared" si="116"/>
        <v>0.37593727584485775</v>
      </c>
      <c r="V1035" s="5">
        <f t="shared" si="117"/>
        <v>-0.74758947596168679</v>
      </c>
    </row>
    <row r="1036" spans="1:22" x14ac:dyDescent="0.3">
      <c r="A1036">
        <v>1122276</v>
      </c>
      <c r="B1036" s="1">
        <v>42971</v>
      </c>
      <c r="C1036" s="1">
        <v>42971</v>
      </c>
      <c r="D1036" s="6" t="s">
        <v>28</v>
      </c>
      <c r="E1036" s="6" t="s">
        <v>28</v>
      </c>
      <c r="F1036" s="8" t="s">
        <v>26</v>
      </c>
      <c r="G1036" s="8" t="s">
        <v>27</v>
      </c>
      <c r="H1036" s="8">
        <v>29</v>
      </c>
      <c r="I1036" s="8">
        <v>34</v>
      </c>
      <c r="J1036" s="8">
        <v>34</v>
      </c>
      <c r="K1036" s="8">
        <v>264386</v>
      </c>
      <c r="L1036" s="8">
        <v>66</v>
      </c>
      <c r="M1036" s="8">
        <v>91.000000540000002</v>
      </c>
      <c r="N1036" s="8">
        <v>4</v>
      </c>
      <c r="O1036" s="8">
        <v>1</v>
      </c>
      <c r="P1036" s="2">
        <f t="shared" si="112"/>
        <v>2.4963500336629023E-2</v>
      </c>
      <c r="Q1036" s="3">
        <f t="shared" si="113"/>
        <v>1.378787886969697</v>
      </c>
      <c r="R1036" s="4">
        <f t="shared" si="118"/>
        <v>1.5151515151515152E-2</v>
      </c>
      <c r="S1036" s="3">
        <f t="shared" si="114"/>
        <v>91.000000540000002</v>
      </c>
      <c r="T1036" s="4">
        <f t="shared" si="115"/>
        <v>0.25</v>
      </c>
      <c r="U1036" s="3">
        <f t="shared" si="116"/>
        <v>0.34419371880508048</v>
      </c>
      <c r="V1036" s="5">
        <f t="shared" si="117"/>
        <v>-0.45054945380992634</v>
      </c>
    </row>
    <row r="1037" spans="1:22" x14ac:dyDescent="0.3">
      <c r="A1037">
        <v>1122277</v>
      </c>
      <c r="B1037" s="1">
        <v>42971</v>
      </c>
      <c r="C1037" s="1">
        <v>42971</v>
      </c>
      <c r="D1037" s="6" t="s">
        <v>28</v>
      </c>
      <c r="E1037" s="6" t="s">
        <v>28</v>
      </c>
      <c r="F1037" s="7" t="s">
        <v>26</v>
      </c>
      <c r="G1037" s="7" t="s">
        <v>27</v>
      </c>
      <c r="H1037" s="7">
        <v>29</v>
      </c>
      <c r="I1037" s="7">
        <v>30</v>
      </c>
      <c r="J1037" s="7">
        <v>30</v>
      </c>
      <c r="K1037" s="7">
        <v>854940</v>
      </c>
      <c r="L1037" s="7">
        <v>227</v>
      </c>
      <c r="M1037" s="7">
        <v>297.91000070000001</v>
      </c>
      <c r="N1037" s="7">
        <v>8</v>
      </c>
      <c r="O1037" s="7">
        <v>3</v>
      </c>
      <c r="P1037" s="2">
        <f t="shared" si="112"/>
        <v>2.6551570870470442E-2</v>
      </c>
      <c r="Q1037" s="3">
        <f t="shared" si="113"/>
        <v>1.3123788577092512</v>
      </c>
      <c r="R1037" s="4">
        <f t="shared" si="118"/>
        <v>1.3215859030837005E-2</v>
      </c>
      <c r="S1037" s="3">
        <f t="shared" si="114"/>
        <v>99.303333566666666</v>
      </c>
      <c r="T1037" s="4">
        <f t="shared" si="115"/>
        <v>0.375</v>
      </c>
      <c r="U1037" s="3">
        <f t="shared" si="116"/>
        <v>0.34845720249374224</v>
      </c>
      <c r="V1037" s="5">
        <f t="shared" si="117"/>
        <v>-0.49649223037983098</v>
      </c>
    </row>
    <row r="1038" spans="1:22" x14ac:dyDescent="0.3">
      <c r="A1038">
        <v>1122279</v>
      </c>
      <c r="B1038" s="1">
        <v>42972</v>
      </c>
      <c r="C1038" s="1">
        <v>42972</v>
      </c>
      <c r="D1038" s="6" t="s">
        <v>28</v>
      </c>
      <c r="E1038" s="6" t="s">
        <v>28</v>
      </c>
      <c r="F1038" s="8" t="s">
        <v>26</v>
      </c>
      <c r="G1038" s="8" t="s">
        <v>27</v>
      </c>
      <c r="H1038" s="8">
        <v>30</v>
      </c>
      <c r="I1038" s="8">
        <v>33</v>
      </c>
      <c r="J1038" s="8">
        <v>36</v>
      </c>
      <c r="K1038" s="8">
        <v>113567</v>
      </c>
      <c r="L1038" s="8">
        <v>34</v>
      </c>
      <c r="M1038" s="8">
        <v>50.29000044</v>
      </c>
      <c r="N1038" s="8">
        <v>3</v>
      </c>
      <c r="O1038" s="8">
        <v>0</v>
      </c>
      <c r="P1038" s="2">
        <f t="shared" si="112"/>
        <v>2.9938274322646546E-2</v>
      </c>
      <c r="Q1038" s="3">
        <f t="shared" si="113"/>
        <v>1.47911766</v>
      </c>
      <c r="R1038" s="4">
        <f t="shared" si="118"/>
        <v>0</v>
      </c>
      <c r="S1038" s="3">
        <f t="shared" si="114"/>
        <v>0</v>
      </c>
      <c r="T1038" s="4">
        <f t="shared" si="115"/>
        <v>0</v>
      </c>
      <c r="U1038" s="3">
        <f t="shared" si="116"/>
        <v>0.44282230260551042</v>
      </c>
      <c r="V1038" s="5">
        <f t="shared" si="117"/>
        <v>-1</v>
      </c>
    </row>
    <row r="1039" spans="1:22" x14ac:dyDescent="0.3">
      <c r="A1039">
        <v>1122282</v>
      </c>
      <c r="B1039" s="1">
        <v>42972</v>
      </c>
      <c r="C1039" s="1">
        <v>42972</v>
      </c>
      <c r="D1039" s="6" t="s">
        <v>28</v>
      </c>
      <c r="E1039" s="6" t="s">
        <v>28</v>
      </c>
      <c r="F1039" s="7" t="s">
        <v>26</v>
      </c>
      <c r="G1039" s="7" t="s">
        <v>27</v>
      </c>
      <c r="H1039" s="7">
        <v>30</v>
      </c>
      <c r="I1039" s="7">
        <v>31</v>
      </c>
      <c r="J1039" s="7">
        <v>35</v>
      </c>
      <c r="K1039" s="7">
        <v>22859</v>
      </c>
      <c r="L1039" s="7">
        <v>6</v>
      </c>
      <c r="M1039" s="7">
        <v>9.4199998380000007</v>
      </c>
      <c r="N1039" s="7">
        <v>1</v>
      </c>
      <c r="O1039" s="7">
        <v>0</v>
      </c>
      <c r="P1039" s="2">
        <f t="shared" si="112"/>
        <v>2.6247867360776934E-2</v>
      </c>
      <c r="Q1039" s="3">
        <f t="shared" si="113"/>
        <v>1.569999973</v>
      </c>
      <c r="R1039" s="4">
        <f t="shared" si="118"/>
        <v>0</v>
      </c>
      <c r="S1039" s="3">
        <f t="shared" si="114"/>
        <v>0</v>
      </c>
      <c r="T1039" s="4">
        <f t="shared" si="115"/>
        <v>0</v>
      </c>
      <c r="U1039" s="3">
        <f t="shared" si="116"/>
        <v>0.41209151047727371</v>
      </c>
      <c r="V1039" s="5">
        <f t="shared" si="117"/>
        <v>-1</v>
      </c>
    </row>
    <row r="1040" spans="1:22" x14ac:dyDescent="0.3">
      <c r="A1040">
        <v>1122288</v>
      </c>
      <c r="B1040" s="1">
        <v>42974</v>
      </c>
      <c r="C1040" s="1">
        <v>42974</v>
      </c>
      <c r="D1040" s="6" t="s">
        <v>28</v>
      </c>
      <c r="E1040" s="6" t="s">
        <v>28</v>
      </c>
      <c r="F1040" s="8" t="s">
        <v>26</v>
      </c>
      <c r="G1040" s="8" t="s">
        <v>27</v>
      </c>
      <c r="H1040" s="8">
        <v>31</v>
      </c>
      <c r="I1040" s="8">
        <v>32</v>
      </c>
      <c r="J1040" s="8">
        <v>33</v>
      </c>
      <c r="K1040" s="8">
        <v>51754</v>
      </c>
      <c r="L1040" s="8">
        <v>13</v>
      </c>
      <c r="M1040" s="8">
        <v>20.519999980000001</v>
      </c>
      <c r="N1040" s="8">
        <v>1</v>
      </c>
      <c r="O1040" s="8">
        <v>0</v>
      </c>
      <c r="P1040" s="2">
        <f t="shared" si="112"/>
        <v>2.5118831394674804E-2</v>
      </c>
      <c r="Q1040" s="3">
        <f t="shared" si="113"/>
        <v>1.578461536923077</v>
      </c>
      <c r="R1040" s="4">
        <f t="shared" si="118"/>
        <v>0</v>
      </c>
      <c r="S1040" s="3">
        <f t="shared" si="114"/>
        <v>0</v>
      </c>
      <c r="T1040" s="4">
        <f t="shared" si="115"/>
        <v>0</v>
      </c>
      <c r="U1040" s="3">
        <f t="shared" si="116"/>
        <v>0.39649109208950034</v>
      </c>
      <c r="V1040" s="5">
        <f t="shared" si="117"/>
        <v>-1</v>
      </c>
    </row>
    <row r="1041" spans="1:22" x14ac:dyDescent="0.3">
      <c r="A1041">
        <v>1122290</v>
      </c>
      <c r="B1041" s="1">
        <v>42973</v>
      </c>
      <c r="C1041" s="1">
        <v>42973</v>
      </c>
      <c r="D1041" s="6" t="s">
        <v>28</v>
      </c>
      <c r="E1041" s="6" t="s">
        <v>28</v>
      </c>
      <c r="F1041" s="7" t="s">
        <v>26</v>
      </c>
      <c r="G1041" s="7" t="s">
        <v>27</v>
      </c>
      <c r="H1041" s="7">
        <v>31</v>
      </c>
      <c r="I1041" s="7">
        <v>32</v>
      </c>
      <c r="J1041" s="7">
        <v>33</v>
      </c>
      <c r="K1041" s="7">
        <v>104347</v>
      </c>
      <c r="L1041" s="7">
        <v>28</v>
      </c>
      <c r="M1041" s="7">
        <v>38.139999930000002</v>
      </c>
      <c r="N1041" s="7">
        <v>4</v>
      </c>
      <c r="O1041" s="7">
        <v>3</v>
      </c>
      <c r="P1041" s="2">
        <f t="shared" si="112"/>
        <v>2.6833545765570642E-2</v>
      </c>
      <c r="Q1041" s="3">
        <f t="shared" si="113"/>
        <v>1.3621428546428571</v>
      </c>
      <c r="R1041" s="4">
        <f t="shared" si="118"/>
        <v>0.10714285714285714</v>
      </c>
      <c r="S1041" s="3">
        <f t="shared" si="114"/>
        <v>12.713333310000001</v>
      </c>
      <c r="T1041" s="4">
        <f t="shared" si="115"/>
        <v>0.75</v>
      </c>
      <c r="U1041" s="3">
        <f t="shared" si="116"/>
        <v>0.3655112262930415</v>
      </c>
      <c r="V1041" s="5">
        <f t="shared" si="117"/>
        <v>2.9328788745490697</v>
      </c>
    </row>
    <row r="1042" spans="1:22" x14ac:dyDescent="0.3">
      <c r="A1042">
        <v>1122303</v>
      </c>
      <c r="B1042" s="1">
        <v>42973</v>
      </c>
      <c r="C1042" s="1">
        <v>42973</v>
      </c>
      <c r="D1042" s="6" t="s">
        <v>28</v>
      </c>
      <c r="E1042" s="6" t="s">
        <v>28</v>
      </c>
      <c r="F1042" s="8" t="s">
        <v>26</v>
      </c>
      <c r="G1042" s="8" t="s">
        <v>27</v>
      </c>
      <c r="H1042" s="8">
        <v>63</v>
      </c>
      <c r="I1042" s="8">
        <v>67</v>
      </c>
      <c r="J1042" s="8">
        <v>66</v>
      </c>
      <c r="K1042" s="8">
        <v>391998</v>
      </c>
      <c r="L1042" s="8">
        <v>97</v>
      </c>
      <c r="M1042" s="8">
        <v>142.05000250000001</v>
      </c>
      <c r="N1042" s="8">
        <v>3</v>
      </c>
      <c r="O1042" s="8">
        <v>1</v>
      </c>
      <c r="P1042" s="2">
        <f t="shared" si="112"/>
        <v>2.4745024209307191E-2</v>
      </c>
      <c r="Q1042" s="3">
        <f t="shared" si="113"/>
        <v>1.4644330154639176</v>
      </c>
      <c r="R1042" s="4">
        <f t="shared" si="118"/>
        <v>1.0309278350515464E-2</v>
      </c>
      <c r="S1042" s="3">
        <f t="shared" si="114"/>
        <v>142.05000250000001</v>
      </c>
      <c r="T1042" s="4">
        <f t="shared" si="115"/>
        <v>0.33333333333333331</v>
      </c>
      <c r="U1042" s="3">
        <f t="shared" si="116"/>
        <v>0.36237430420563371</v>
      </c>
      <c r="V1042" s="5">
        <f t="shared" si="117"/>
        <v>-0.64801126983436697</v>
      </c>
    </row>
    <row r="1043" spans="1:22" x14ac:dyDescent="0.3">
      <c r="A1043">
        <v>1122304</v>
      </c>
      <c r="B1043" s="1">
        <v>42974</v>
      </c>
      <c r="C1043" s="1">
        <v>42974</v>
      </c>
      <c r="D1043" s="6" t="s">
        <v>28</v>
      </c>
      <c r="E1043" s="6" t="s">
        <v>28</v>
      </c>
      <c r="F1043" s="7" t="s">
        <v>26</v>
      </c>
      <c r="G1043" s="7" t="s">
        <v>27</v>
      </c>
      <c r="H1043" s="7">
        <v>63</v>
      </c>
      <c r="I1043" s="7">
        <v>64</v>
      </c>
      <c r="J1043" s="7">
        <v>66</v>
      </c>
      <c r="K1043" s="7">
        <v>1111156</v>
      </c>
      <c r="L1043" s="7">
        <v>282</v>
      </c>
      <c r="M1043" s="7">
        <v>402.30000260000003</v>
      </c>
      <c r="N1043" s="7">
        <v>5</v>
      </c>
      <c r="O1043" s="7">
        <v>0</v>
      </c>
      <c r="P1043" s="2">
        <f t="shared" si="112"/>
        <v>2.5378974689422549E-2</v>
      </c>
      <c r="Q1043" s="3">
        <f t="shared" si="113"/>
        <v>1.4265957539007093</v>
      </c>
      <c r="R1043" s="4">
        <f t="shared" si="118"/>
        <v>0</v>
      </c>
      <c r="S1043" s="3">
        <f t="shared" si="114"/>
        <v>0</v>
      </c>
      <c r="T1043" s="4">
        <f t="shared" si="115"/>
        <v>0</v>
      </c>
      <c r="U1043" s="3">
        <f t="shared" si="116"/>
        <v>0.36205537530283782</v>
      </c>
      <c r="V1043" s="5">
        <f t="shared" si="117"/>
        <v>-1</v>
      </c>
    </row>
    <row r="1044" spans="1:22" x14ac:dyDescent="0.3">
      <c r="A1044">
        <v>1122308</v>
      </c>
      <c r="B1044" s="1">
        <v>42974</v>
      </c>
      <c r="C1044" s="1">
        <v>42974</v>
      </c>
      <c r="D1044" s="6" t="s">
        <v>28</v>
      </c>
      <c r="E1044" s="6" t="s">
        <v>28</v>
      </c>
      <c r="F1044" s="8" t="s">
        <v>26</v>
      </c>
      <c r="G1044" s="8" t="s">
        <v>27</v>
      </c>
      <c r="H1044" s="8">
        <v>63</v>
      </c>
      <c r="I1044" s="8">
        <v>64</v>
      </c>
      <c r="J1044" s="8">
        <v>68</v>
      </c>
      <c r="K1044" s="8">
        <v>427772</v>
      </c>
      <c r="L1044" s="8">
        <v>117</v>
      </c>
      <c r="M1044" s="8">
        <v>159.29999900000001</v>
      </c>
      <c r="N1044" s="8">
        <v>3</v>
      </c>
      <c r="O1044" s="8">
        <v>1</v>
      </c>
      <c r="P1044" s="2">
        <f t="shared" si="112"/>
        <v>2.7351018767006723E-2</v>
      </c>
      <c r="Q1044" s="3">
        <f t="shared" si="113"/>
        <v>1.3615384529914532</v>
      </c>
      <c r="R1044" s="4">
        <f t="shared" si="118"/>
        <v>8.5470085470085479E-3</v>
      </c>
      <c r="S1044" s="3">
        <f t="shared" si="114"/>
        <v>159.29999900000001</v>
      </c>
      <c r="T1044" s="4">
        <f t="shared" si="115"/>
        <v>0.33333333333333331</v>
      </c>
      <c r="U1044" s="3">
        <f t="shared" si="116"/>
        <v>0.37239463779770532</v>
      </c>
      <c r="V1044" s="5">
        <f t="shared" si="117"/>
        <v>-0.68612680280054494</v>
      </c>
    </row>
    <row r="1045" spans="1:22" x14ac:dyDescent="0.3">
      <c r="A1045">
        <v>1122310</v>
      </c>
      <c r="B1045" s="1">
        <v>42974</v>
      </c>
      <c r="C1045" s="1">
        <v>42974</v>
      </c>
      <c r="D1045" s="6" t="s">
        <v>28</v>
      </c>
      <c r="E1045" s="6" t="s">
        <v>28</v>
      </c>
      <c r="F1045" s="7" t="s">
        <v>26</v>
      </c>
      <c r="G1045" s="7" t="s">
        <v>27</v>
      </c>
      <c r="H1045" s="7">
        <v>64</v>
      </c>
      <c r="I1045" s="7">
        <v>66</v>
      </c>
      <c r="J1045" s="7">
        <v>65</v>
      </c>
      <c r="K1045" s="7">
        <v>536457</v>
      </c>
      <c r="L1045" s="7">
        <v>136</v>
      </c>
      <c r="M1045" s="7">
        <v>193.65999909999999</v>
      </c>
      <c r="N1045" s="7">
        <v>2</v>
      </c>
      <c r="O1045" s="7">
        <v>1</v>
      </c>
      <c r="P1045" s="2">
        <f t="shared" si="112"/>
        <v>2.535151932028103E-2</v>
      </c>
      <c r="Q1045" s="3">
        <f t="shared" si="113"/>
        <v>1.4239705816176471</v>
      </c>
      <c r="R1045" s="4">
        <f t="shared" si="118"/>
        <v>7.3529411764705881E-3</v>
      </c>
      <c r="S1045" s="3">
        <f t="shared" si="114"/>
        <v>193.65999909999999</v>
      </c>
      <c r="T1045" s="4">
        <f t="shared" si="115"/>
        <v>0.5</v>
      </c>
      <c r="U1045" s="3">
        <f t="shared" si="116"/>
        <v>0.36099817711391596</v>
      </c>
      <c r="V1045" s="5">
        <f t="shared" si="117"/>
        <v>-0.74181555183121961</v>
      </c>
    </row>
    <row r="1046" spans="1:22" x14ac:dyDescent="0.3">
      <c r="A1046">
        <v>1122311</v>
      </c>
      <c r="B1046" s="1">
        <v>42974</v>
      </c>
      <c r="C1046" s="1">
        <v>42974</v>
      </c>
      <c r="D1046" s="6" t="s">
        <v>28</v>
      </c>
      <c r="E1046" s="6" t="s">
        <v>28</v>
      </c>
      <c r="F1046" s="8" t="s">
        <v>26</v>
      </c>
      <c r="G1046" s="8" t="s">
        <v>27</v>
      </c>
      <c r="H1046" s="8">
        <v>64</v>
      </c>
      <c r="I1046" s="8">
        <v>69</v>
      </c>
      <c r="J1046" s="8">
        <v>68</v>
      </c>
      <c r="K1046" s="8">
        <v>179894</v>
      </c>
      <c r="L1046" s="8">
        <v>43</v>
      </c>
      <c r="M1046" s="8">
        <v>66.839998719999997</v>
      </c>
      <c r="N1046" s="8">
        <v>2</v>
      </c>
      <c r="O1046" s="8">
        <v>0</v>
      </c>
      <c r="P1046" s="2">
        <f t="shared" si="112"/>
        <v>2.3902965079435668E-2</v>
      </c>
      <c r="Q1046" s="3">
        <f t="shared" si="113"/>
        <v>1.5544185748837209</v>
      </c>
      <c r="R1046" s="4">
        <f t="shared" si="118"/>
        <v>0</v>
      </c>
      <c r="S1046" s="3">
        <f t="shared" si="114"/>
        <v>0</v>
      </c>
      <c r="T1046" s="4">
        <f t="shared" si="115"/>
        <v>0</v>
      </c>
      <c r="U1046" s="3">
        <f t="shared" si="116"/>
        <v>0.37155212914271735</v>
      </c>
      <c r="V1046" s="5">
        <f t="shared" si="117"/>
        <v>-1</v>
      </c>
    </row>
    <row r="1047" spans="1:22" x14ac:dyDescent="0.3">
      <c r="A1047">
        <v>1122312</v>
      </c>
      <c r="B1047" s="1">
        <v>42974</v>
      </c>
      <c r="C1047" s="1">
        <v>42974</v>
      </c>
      <c r="D1047" s="6" t="s">
        <v>28</v>
      </c>
      <c r="E1047" s="6" t="s">
        <v>28</v>
      </c>
      <c r="F1047" s="7" t="s">
        <v>26</v>
      </c>
      <c r="G1047" s="7" t="s">
        <v>27</v>
      </c>
      <c r="H1047" s="7">
        <v>64</v>
      </c>
      <c r="I1047" s="7">
        <v>70</v>
      </c>
      <c r="J1047" s="7">
        <v>66</v>
      </c>
      <c r="K1047" s="7">
        <v>479882</v>
      </c>
      <c r="L1047" s="7">
        <v>131</v>
      </c>
      <c r="M1047" s="7">
        <v>178.6700007</v>
      </c>
      <c r="N1047" s="7">
        <v>6</v>
      </c>
      <c r="O1047" s="7">
        <v>0</v>
      </c>
      <c r="P1047" s="2">
        <f t="shared" si="112"/>
        <v>2.7298377517806463E-2</v>
      </c>
      <c r="Q1047" s="3">
        <f t="shared" si="113"/>
        <v>1.3638931351145038</v>
      </c>
      <c r="R1047" s="4">
        <f t="shared" si="118"/>
        <v>0</v>
      </c>
      <c r="S1047" s="3">
        <f t="shared" si="114"/>
        <v>0</v>
      </c>
      <c r="T1047" s="4">
        <f t="shared" si="115"/>
        <v>0</v>
      </c>
      <c r="U1047" s="3">
        <f t="shared" si="116"/>
        <v>0.37232069696300341</v>
      </c>
      <c r="V1047" s="5">
        <f t="shared" si="117"/>
        <v>-1</v>
      </c>
    </row>
    <row r="1048" spans="1:22" x14ac:dyDescent="0.3">
      <c r="A1048">
        <v>1122313</v>
      </c>
      <c r="B1048" s="1">
        <v>42973</v>
      </c>
      <c r="C1048" s="1">
        <v>42973</v>
      </c>
      <c r="D1048" s="6" t="s">
        <v>28</v>
      </c>
      <c r="E1048" s="6" t="s">
        <v>28</v>
      </c>
      <c r="F1048" s="8" t="s">
        <v>26</v>
      </c>
      <c r="G1048" s="8" t="s">
        <v>27</v>
      </c>
      <c r="H1048" s="8">
        <v>64</v>
      </c>
      <c r="I1048" s="8">
        <v>70</v>
      </c>
      <c r="J1048" s="8">
        <v>69</v>
      </c>
      <c r="K1048" s="8">
        <v>358261</v>
      </c>
      <c r="L1048" s="8">
        <v>91</v>
      </c>
      <c r="M1048" s="8">
        <v>130.36000110000001</v>
      </c>
      <c r="N1048" s="8">
        <v>1</v>
      </c>
      <c r="O1048" s="8">
        <v>0</v>
      </c>
      <c r="P1048" s="2">
        <f t="shared" si="112"/>
        <v>2.5400476189147016E-2</v>
      </c>
      <c r="Q1048" s="3">
        <f t="shared" si="113"/>
        <v>1.4325274846153846</v>
      </c>
      <c r="R1048" s="4">
        <f t="shared" si="118"/>
        <v>0</v>
      </c>
      <c r="S1048" s="3">
        <f t="shared" si="114"/>
        <v>0</v>
      </c>
      <c r="T1048" s="4">
        <f t="shared" si="115"/>
        <v>0</v>
      </c>
      <c r="U1048" s="3">
        <f t="shared" si="116"/>
        <v>0.36386880263271748</v>
      </c>
      <c r="V1048" s="5">
        <f t="shared" si="117"/>
        <v>-1</v>
      </c>
    </row>
    <row r="1049" spans="1:22" x14ac:dyDescent="0.3">
      <c r="A1049">
        <v>1122316</v>
      </c>
      <c r="B1049" s="1">
        <v>42973</v>
      </c>
      <c r="C1049" s="1">
        <v>42973</v>
      </c>
      <c r="D1049" s="6" t="s">
        <v>28</v>
      </c>
      <c r="E1049" s="6" t="s">
        <v>28</v>
      </c>
      <c r="F1049" s="7" t="s">
        <v>26</v>
      </c>
      <c r="G1049" s="7" t="s">
        <v>27</v>
      </c>
      <c r="H1049" s="7">
        <v>65</v>
      </c>
      <c r="I1049" s="7">
        <v>67</v>
      </c>
      <c r="J1049" s="7">
        <v>67</v>
      </c>
      <c r="K1049" s="7">
        <v>346688</v>
      </c>
      <c r="L1049" s="7">
        <v>88</v>
      </c>
      <c r="M1049" s="7">
        <v>114.8599998</v>
      </c>
      <c r="N1049" s="7">
        <v>2</v>
      </c>
      <c r="O1049" s="7">
        <v>0</v>
      </c>
      <c r="P1049" s="2">
        <f t="shared" si="112"/>
        <v>2.5383053350563043E-2</v>
      </c>
      <c r="Q1049" s="3">
        <f t="shared" si="113"/>
        <v>1.3052272704545453</v>
      </c>
      <c r="R1049" s="4">
        <f t="shared" si="118"/>
        <v>0</v>
      </c>
      <c r="S1049" s="3">
        <f t="shared" si="114"/>
        <v>0</v>
      </c>
      <c r="T1049" s="4">
        <f t="shared" si="115"/>
        <v>0</v>
      </c>
      <c r="U1049" s="3">
        <f t="shared" si="116"/>
        <v>0.33130653440557506</v>
      </c>
      <c r="V1049" s="5">
        <f t="shared" si="117"/>
        <v>-1</v>
      </c>
    </row>
    <row r="1050" spans="1:22" x14ac:dyDescent="0.3">
      <c r="A1050">
        <v>1314296</v>
      </c>
      <c r="B1050" s="1">
        <v>42973</v>
      </c>
      <c r="C1050" s="1">
        <v>42973</v>
      </c>
      <c r="D1050" s="6" t="s">
        <v>28</v>
      </c>
      <c r="E1050" s="6" t="s">
        <v>28</v>
      </c>
      <c r="F1050" s="8" t="s">
        <v>22</v>
      </c>
      <c r="G1050" s="8" t="s">
        <v>23</v>
      </c>
      <c r="H1050" s="8">
        <v>100</v>
      </c>
      <c r="I1050" s="8">
        <v>106</v>
      </c>
      <c r="J1050" s="8">
        <v>105</v>
      </c>
      <c r="K1050" s="8">
        <v>33445</v>
      </c>
      <c r="L1050" s="8">
        <v>2</v>
      </c>
      <c r="M1050" s="8">
        <v>3.199999928</v>
      </c>
      <c r="N1050" s="8">
        <v>1</v>
      </c>
      <c r="O1050" s="8">
        <v>0</v>
      </c>
      <c r="P1050" s="2">
        <f t="shared" si="112"/>
        <v>5.979967110180894E-3</v>
      </c>
      <c r="Q1050" s="3">
        <f t="shared" si="113"/>
        <v>1.599999964</v>
      </c>
      <c r="R1050" s="4">
        <f t="shared" si="118"/>
        <v>0</v>
      </c>
      <c r="S1050" s="3">
        <f t="shared" si="114"/>
        <v>0</v>
      </c>
      <c r="T1050" s="4">
        <f t="shared" si="115"/>
        <v>0</v>
      </c>
      <c r="U1050" s="3">
        <f t="shared" si="116"/>
        <v>9.5679471610106134E-2</v>
      </c>
      <c r="V1050" s="5">
        <f t="shared" si="117"/>
        <v>-1</v>
      </c>
    </row>
    <row r="1051" spans="1:22" x14ac:dyDescent="0.3">
      <c r="A1051">
        <v>1314297</v>
      </c>
      <c r="B1051" s="1">
        <v>42972</v>
      </c>
      <c r="C1051" s="1">
        <v>42972</v>
      </c>
      <c r="D1051" s="6" t="s">
        <v>28</v>
      </c>
      <c r="E1051" s="6" t="s">
        <v>28</v>
      </c>
      <c r="F1051" s="7" t="s">
        <v>22</v>
      </c>
      <c r="G1051" s="7" t="s">
        <v>23</v>
      </c>
      <c r="H1051" s="7">
        <v>101</v>
      </c>
      <c r="I1051" s="7">
        <v>106</v>
      </c>
      <c r="J1051" s="7">
        <v>103</v>
      </c>
      <c r="K1051" s="7">
        <v>72228</v>
      </c>
      <c r="L1051" s="7">
        <v>5</v>
      </c>
      <c r="M1051" s="7">
        <v>7.5299998520000004</v>
      </c>
      <c r="N1051" s="7">
        <v>4</v>
      </c>
      <c r="O1051" s="7">
        <v>4</v>
      </c>
      <c r="P1051" s="2">
        <f t="shared" si="112"/>
        <v>6.9225231212272243E-3</v>
      </c>
      <c r="Q1051" s="3">
        <f t="shared" si="113"/>
        <v>1.5059999704</v>
      </c>
      <c r="R1051" s="4">
        <f t="shared" si="118"/>
        <v>0.8</v>
      </c>
      <c r="S1051" s="3">
        <f t="shared" si="114"/>
        <v>1.8824999630000001</v>
      </c>
      <c r="T1051" s="4">
        <f t="shared" si="115"/>
        <v>1</v>
      </c>
      <c r="U1051" s="3">
        <f t="shared" si="116"/>
        <v>0.10425319615661517</v>
      </c>
      <c r="V1051" s="5">
        <f t="shared" si="117"/>
        <v>25.560425488837048</v>
      </c>
    </row>
    <row r="1052" spans="1:22" x14ac:dyDescent="0.3">
      <c r="A1052">
        <v>1314298</v>
      </c>
      <c r="B1052" s="1">
        <v>42972</v>
      </c>
      <c r="C1052" s="1">
        <v>42972</v>
      </c>
      <c r="D1052" s="6" t="s">
        <v>28</v>
      </c>
      <c r="E1052" s="6" t="s">
        <v>28</v>
      </c>
      <c r="F1052" s="8" t="s">
        <v>22</v>
      </c>
      <c r="G1052" s="8" t="s">
        <v>23</v>
      </c>
      <c r="H1052" s="8">
        <v>102</v>
      </c>
      <c r="I1052" s="8">
        <v>104</v>
      </c>
      <c r="J1052" s="8">
        <v>107</v>
      </c>
      <c r="K1052" s="8">
        <v>49699</v>
      </c>
      <c r="L1052" s="8">
        <v>2</v>
      </c>
      <c r="M1052" s="8">
        <v>2.6900000569999998</v>
      </c>
      <c r="N1052" s="8">
        <v>2</v>
      </c>
      <c r="O1052" s="8">
        <v>1</v>
      </c>
      <c r="P1052" s="2">
        <f t="shared" si="112"/>
        <v>4.0242258395541157E-3</v>
      </c>
      <c r="Q1052" s="3">
        <f t="shared" si="113"/>
        <v>1.3450000284999999</v>
      </c>
      <c r="R1052" s="4">
        <f t="shared" si="118"/>
        <v>0.5</v>
      </c>
      <c r="S1052" s="3">
        <f t="shared" si="114"/>
        <v>2.6900000569999998</v>
      </c>
      <c r="T1052" s="4">
        <f t="shared" si="115"/>
        <v>0.5</v>
      </c>
      <c r="U1052" s="3">
        <f t="shared" si="116"/>
        <v>5.4125838688907218E-2</v>
      </c>
      <c r="V1052" s="5">
        <f t="shared" si="117"/>
        <v>17.587360200936978</v>
      </c>
    </row>
    <row r="1053" spans="1:22" x14ac:dyDescent="0.3">
      <c r="A1053">
        <v>1314299</v>
      </c>
      <c r="B1053" s="1">
        <v>42973</v>
      </c>
      <c r="C1053" s="1">
        <v>42973</v>
      </c>
      <c r="D1053" s="6" t="s">
        <v>28</v>
      </c>
      <c r="E1053" s="6" t="s">
        <v>28</v>
      </c>
      <c r="F1053" s="7" t="s">
        <v>22</v>
      </c>
      <c r="G1053" s="7" t="s">
        <v>23</v>
      </c>
      <c r="H1053" s="7">
        <v>103</v>
      </c>
      <c r="I1053" s="7">
        <v>107</v>
      </c>
      <c r="J1053" s="7">
        <v>108</v>
      </c>
      <c r="K1053" s="7">
        <v>189761</v>
      </c>
      <c r="L1053" s="7">
        <v>18</v>
      </c>
      <c r="M1053" s="7">
        <v>27.329999690000001</v>
      </c>
      <c r="N1053" s="7">
        <v>4</v>
      </c>
      <c r="O1053" s="7">
        <v>1</v>
      </c>
      <c r="P1053" s="2">
        <f t="shared" si="112"/>
        <v>9.4856161171157412E-3</v>
      </c>
      <c r="Q1053" s="3">
        <f t="shared" si="113"/>
        <v>1.5183333161111112</v>
      </c>
      <c r="R1053" s="4">
        <f t="shared" si="118"/>
        <v>5.5555555555555552E-2</v>
      </c>
      <c r="S1053" s="3">
        <f t="shared" si="114"/>
        <v>27.329999690000001</v>
      </c>
      <c r="T1053" s="4">
        <f t="shared" si="115"/>
        <v>0.25</v>
      </c>
      <c r="U1053" s="3">
        <f t="shared" si="116"/>
        <v>0.14402326974457344</v>
      </c>
      <c r="V1053" s="5">
        <f t="shared" si="117"/>
        <v>0.82949142214205407</v>
      </c>
    </row>
    <row r="1054" spans="1:22" x14ac:dyDescent="0.3">
      <c r="A1054">
        <v>1314301</v>
      </c>
      <c r="B1054" s="1">
        <v>42973</v>
      </c>
      <c r="C1054" s="1">
        <v>42973</v>
      </c>
      <c r="D1054" s="6" t="s">
        <v>28</v>
      </c>
      <c r="E1054" s="6" t="s">
        <v>28</v>
      </c>
      <c r="F1054" s="8" t="s">
        <v>22</v>
      </c>
      <c r="G1054" s="8" t="s">
        <v>23</v>
      </c>
      <c r="H1054" s="8">
        <v>105</v>
      </c>
      <c r="I1054" s="8">
        <v>108</v>
      </c>
      <c r="J1054" s="8">
        <v>107</v>
      </c>
      <c r="K1054" s="8">
        <v>312524</v>
      </c>
      <c r="L1054" s="8">
        <v>37</v>
      </c>
      <c r="M1054" s="8">
        <v>53.789999719999997</v>
      </c>
      <c r="N1054" s="8">
        <v>2</v>
      </c>
      <c r="O1054" s="8">
        <v>0</v>
      </c>
      <c r="P1054" s="2">
        <f t="shared" si="112"/>
        <v>1.1839090757829799E-2</v>
      </c>
      <c r="Q1054" s="3">
        <f t="shared" si="113"/>
        <v>1.4537837762162162</v>
      </c>
      <c r="R1054" s="4">
        <f t="shared" si="118"/>
        <v>0</v>
      </c>
      <c r="S1054" s="3">
        <f t="shared" si="114"/>
        <v>0</v>
      </c>
      <c r="T1054" s="4">
        <f t="shared" si="115"/>
        <v>0</v>
      </c>
      <c r="U1054" s="3">
        <f t="shared" si="116"/>
        <v>0.17211478068884309</v>
      </c>
      <c r="V1054" s="5">
        <f t="shared" si="117"/>
        <v>-1</v>
      </c>
    </row>
    <row r="1055" spans="1:22" x14ac:dyDescent="0.3">
      <c r="A1055">
        <v>1314303</v>
      </c>
      <c r="B1055" s="1">
        <v>42973</v>
      </c>
      <c r="C1055" s="1">
        <v>42973</v>
      </c>
      <c r="D1055" s="6" t="s">
        <v>28</v>
      </c>
      <c r="E1055" s="6" t="s">
        <v>28</v>
      </c>
      <c r="F1055" s="7" t="s">
        <v>22</v>
      </c>
      <c r="G1055" s="7" t="s">
        <v>23</v>
      </c>
      <c r="H1055" s="7">
        <v>107</v>
      </c>
      <c r="I1055" s="7">
        <v>108</v>
      </c>
      <c r="J1055" s="7">
        <v>110</v>
      </c>
      <c r="K1055" s="7">
        <v>496760</v>
      </c>
      <c r="L1055" s="7">
        <v>42</v>
      </c>
      <c r="M1055" s="7">
        <v>61.009999039999997</v>
      </c>
      <c r="N1055" s="7">
        <v>10</v>
      </c>
      <c r="O1055" s="7">
        <v>3</v>
      </c>
      <c r="P1055" s="2">
        <f t="shared" si="112"/>
        <v>8.4547870198888788E-3</v>
      </c>
      <c r="Q1055" s="3">
        <f t="shared" si="113"/>
        <v>1.4526190247619046</v>
      </c>
      <c r="R1055" s="4">
        <f t="shared" si="118"/>
        <v>7.1428571428571425E-2</v>
      </c>
      <c r="S1055" s="3">
        <f t="shared" si="114"/>
        <v>20.336666346666664</v>
      </c>
      <c r="T1055" s="4">
        <f t="shared" si="115"/>
        <v>0.3</v>
      </c>
      <c r="U1055" s="3">
        <f t="shared" si="116"/>
        <v>0.12281584475400595</v>
      </c>
      <c r="V1055" s="5">
        <f t="shared" si="117"/>
        <v>1.4586133807616597</v>
      </c>
    </row>
    <row r="1056" spans="1:22" x14ac:dyDescent="0.3">
      <c r="A1056">
        <v>1314306</v>
      </c>
      <c r="B1056" s="1">
        <v>42973</v>
      </c>
      <c r="C1056" s="1">
        <v>42973</v>
      </c>
      <c r="D1056" s="6" t="s">
        <v>28</v>
      </c>
      <c r="E1056" s="6" t="s">
        <v>28</v>
      </c>
      <c r="F1056" s="8" t="s">
        <v>22</v>
      </c>
      <c r="G1056" s="8" t="s">
        <v>23</v>
      </c>
      <c r="H1056" s="8">
        <v>110</v>
      </c>
      <c r="I1056" s="8">
        <v>112</v>
      </c>
      <c r="J1056" s="8">
        <v>111</v>
      </c>
      <c r="K1056" s="8">
        <v>310988</v>
      </c>
      <c r="L1056" s="8">
        <v>34</v>
      </c>
      <c r="M1056" s="8">
        <v>46.669999359999998</v>
      </c>
      <c r="N1056" s="8">
        <v>11</v>
      </c>
      <c r="O1056" s="8">
        <v>3</v>
      </c>
      <c r="P1056" s="2">
        <f t="shared" si="112"/>
        <v>1.0932897732388388E-2</v>
      </c>
      <c r="Q1056" s="3">
        <f t="shared" si="113"/>
        <v>1.3726470399999999</v>
      </c>
      <c r="R1056" s="4">
        <f t="shared" si="118"/>
        <v>8.8235294117647065E-2</v>
      </c>
      <c r="S1056" s="3">
        <f t="shared" si="114"/>
        <v>15.556666453333333</v>
      </c>
      <c r="T1056" s="4">
        <f t="shared" si="115"/>
        <v>0.27272727272727271</v>
      </c>
      <c r="U1056" s="3">
        <f t="shared" si="116"/>
        <v>0.15007009710985633</v>
      </c>
      <c r="V1056" s="5">
        <f t="shared" si="117"/>
        <v>2.2140561829225618</v>
      </c>
    </row>
    <row r="1057" spans="1:22" x14ac:dyDescent="0.3">
      <c r="A1057">
        <v>1314307</v>
      </c>
      <c r="B1057" s="1">
        <v>42973</v>
      </c>
      <c r="C1057" s="1">
        <v>42973</v>
      </c>
      <c r="D1057" s="6" t="s">
        <v>28</v>
      </c>
      <c r="E1057" s="6" t="s">
        <v>28</v>
      </c>
      <c r="F1057" s="7" t="s">
        <v>22</v>
      </c>
      <c r="G1057" s="7" t="s">
        <v>23</v>
      </c>
      <c r="H1057" s="7">
        <v>111</v>
      </c>
      <c r="I1057" s="7">
        <v>112</v>
      </c>
      <c r="J1057" s="7">
        <v>113</v>
      </c>
      <c r="K1057" s="7">
        <v>98606</v>
      </c>
      <c r="L1057" s="7">
        <v>9</v>
      </c>
      <c r="M1057" s="7">
        <v>12.10999984</v>
      </c>
      <c r="N1057" s="7">
        <v>1</v>
      </c>
      <c r="O1057" s="7">
        <v>0</v>
      </c>
      <c r="P1057" s="2">
        <f t="shared" si="112"/>
        <v>9.1272336368983624E-3</v>
      </c>
      <c r="Q1057" s="3">
        <f t="shared" si="113"/>
        <v>1.3455555377777779</v>
      </c>
      <c r="R1057" s="4">
        <f t="shared" si="118"/>
        <v>0</v>
      </c>
      <c r="S1057" s="3">
        <f t="shared" si="114"/>
        <v>0</v>
      </c>
      <c r="T1057" s="4">
        <f t="shared" si="115"/>
        <v>0</v>
      </c>
      <c r="U1057" s="3">
        <f t="shared" si="116"/>
        <v>0.12281199764720201</v>
      </c>
      <c r="V1057" s="5">
        <f t="shared" si="117"/>
        <v>-1</v>
      </c>
    </row>
    <row r="1058" spans="1:22" x14ac:dyDescent="0.3">
      <c r="A1058">
        <v>1314308</v>
      </c>
      <c r="B1058" s="1">
        <v>42973</v>
      </c>
      <c r="C1058" s="1">
        <v>42973</v>
      </c>
      <c r="D1058" s="6" t="s">
        <v>28</v>
      </c>
      <c r="E1058" s="6" t="s">
        <v>28</v>
      </c>
      <c r="F1058" s="8" t="s">
        <v>22</v>
      </c>
      <c r="G1058" s="8" t="s">
        <v>23</v>
      </c>
      <c r="H1058" s="8">
        <v>112</v>
      </c>
      <c r="I1058" s="8">
        <v>117</v>
      </c>
      <c r="J1058" s="8">
        <v>115</v>
      </c>
      <c r="K1058" s="8">
        <v>51104</v>
      </c>
      <c r="L1058" s="8">
        <v>2</v>
      </c>
      <c r="M1058" s="8">
        <v>3.199999928</v>
      </c>
      <c r="N1058" s="8">
        <v>3</v>
      </c>
      <c r="O1058" s="8">
        <v>1</v>
      </c>
      <c r="P1058" s="2">
        <f t="shared" si="112"/>
        <v>3.9135879774577333E-3</v>
      </c>
      <c r="Q1058" s="3">
        <f t="shared" si="113"/>
        <v>1.599999964</v>
      </c>
      <c r="R1058" s="4">
        <f t="shared" si="118"/>
        <v>0.5</v>
      </c>
      <c r="S1058" s="3">
        <f t="shared" si="114"/>
        <v>3.199999928</v>
      </c>
      <c r="T1058" s="4">
        <f t="shared" si="115"/>
        <v>0.33333333333333331</v>
      </c>
      <c r="U1058" s="3">
        <f t="shared" si="116"/>
        <v>6.2617406230432063E-2</v>
      </c>
      <c r="V1058" s="5">
        <f t="shared" si="117"/>
        <v>14.625000351562509</v>
      </c>
    </row>
    <row r="1059" spans="1:22" x14ac:dyDescent="0.3">
      <c r="A1059">
        <v>1314309</v>
      </c>
      <c r="B1059" s="1">
        <v>42970</v>
      </c>
      <c r="C1059" s="1">
        <v>42970</v>
      </c>
      <c r="D1059" s="6" t="s">
        <v>28</v>
      </c>
      <c r="E1059" s="6" t="s">
        <v>28</v>
      </c>
      <c r="F1059" s="7" t="s">
        <v>22</v>
      </c>
      <c r="G1059" s="7" t="s">
        <v>23</v>
      </c>
      <c r="H1059" s="7">
        <v>113</v>
      </c>
      <c r="I1059" s="7">
        <v>116</v>
      </c>
      <c r="J1059" s="7">
        <v>115</v>
      </c>
      <c r="K1059" s="7">
        <v>276762</v>
      </c>
      <c r="L1059" s="7">
        <v>22</v>
      </c>
      <c r="M1059" s="7">
        <v>32.090000150000002</v>
      </c>
      <c r="N1059" s="7">
        <v>5</v>
      </c>
      <c r="O1059" s="7">
        <v>1</v>
      </c>
      <c r="P1059" s="2">
        <f t="shared" si="112"/>
        <v>7.9490681524197679E-3</v>
      </c>
      <c r="Q1059" s="3">
        <f t="shared" si="113"/>
        <v>1.4586363704545455</v>
      </c>
      <c r="R1059" s="4">
        <f t="shared" si="118"/>
        <v>4.5454545454545456E-2</v>
      </c>
      <c r="S1059" s="3">
        <f t="shared" si="114"/>
        <v>32.090000150000002</v>
      </c>
      <c r="T1059" s="4">
        <f t="shared" si="115"/>
        <v>0.2</v>
      </c>
      <c r="U1059" s="3">
        <f t="shared" si="116"/>
        <v>0.11594799918341391</v>
      </c>
      <c r="V1059" s="5">
        <f t="shared" si="117"/>
        <v>0.55811778642201093</v>
      </c>
    </row>
    <row r="1060" spans="1:22" x14ac:dyDescent="0.3">
      <c r="A1060">
        <v>1314312</v>
      </c>
      <c r="B1060" s="1">
        <v>42970</v>
      </c>
      <c r="C1060" s="1">
        <v>42970</v>
      </c>
      <c r="D1060" s="6" t="s">
        <v>28</v>
      </c>
      <c r="E1060" s="6" t="s">
        <v>28</v>
      </c>
      <c r="F1060" s="8" t="s">
        <v>24</v>
      </c>
      <c r="G1060" s="8" t="s">
        <v>23</v>
      </c>
      <c r="H1060" s="8">
        <v>101</v>
      </c>
      <c r="I1060" s="8">
        <v>105</v>
      </c>
      <c r="J1060" s="8">
        <v>103</v>
      </c>
      <c r="K1060" s="8">
        <v>33534</v>
      </c>
      <c r="L1060" s="8">
        <v>2</v>
      </c>
      <c r="M1060" s="8">
        <v>2.960000038</v>
      </c>
      <c r="N1060" s="8">
        <v>1</v>
      </c>
      <c r="O1060" s="8">
        <v>1</v>
      </c>
      <c r="P1060" s="2">
        <f t="shared" si="112"/>
        <v>5.9640961412297964E-3</v>
      </c>
      <c r="Q1060" s="3">
        <f t="shared" si="113"/>
        <v>1.480000019</v>
      </c>
      <c r="R1060" s="4">
        <f t="shared" si="118"/>
        <v>0.5</v>
      </c>
      <c r="S1060" s="3">
        <f t="shared" si="114"/>
        <v>2.960000038</v>
      </c>
      <c r="T1060" s="4">
        <f t="shared" si="115"/>
        <v>1</v>
      </c>
      <c r="U1060" s="3">
        <f t="shared" si="116"/>
        <v>8.8268624023379247E-2</v>
      </c>
      <c r="V1060" s="5">
        <f t="shared" si="117"/>
        <v>15.891891675036527</v>
      </c>
    </row>
    <row r="1061" spans="1:22" x14ac:dyDescent="0.3">
      <c r="A1061">
        <v>1314313</v>
      </c>
      <c r="B1061" s="1">
        <v>42968</v>
      </c>
      <c r="C1061" s="1">
        <v>42968</v>
      </c>
      <c r="D1061" s="6" t="s">
        <v>28</v>
      </c>
      <c r="E1061" s="6" t="s">
        <v>28</v>
      </c>
      <c r="F1061" s="7" t="s">
        <v>24</v>
      </c>
      <c r="G1061" s="7" t="s">
        <v>23</v>
      </c>
      <c r="H1061" s="7">
        <v>102</v>
      </c>
      <c r="I1061" s="7">
        <v>104</v>
      </c>
      <c r="J1061" s="7">
        <v>107</v>
      </c>
      <c r="K1061" s="7">
        <v>128859</v>
      </c>
      <c r="L1061" s="7">
        <v>16</v>
      </c>
      <c r="M1061" s="7">
        <v>23.699999569999999</v>
      </c>
      <c r="N1061" s="7">
        <v>1</v>
      </c>
      <c r="O1061" s="7">
        <v>0</v>
      </c>
      <c r="P1061" s="2">
        <f t="shared" si="112"/>
        <v>1.2416672486981894E-2</v>
      </c>
      <c r="Q1061" s="3">
        <f t="shared" si="113"/>
        <v>1.481249973125</v>
      </c>
      <c r="R1061" s="4">
        <f t="shared" si="118"/>
        <v>0</v>
      </c>
      <c r="S1061" s="3">
        <f t="shared" si="114"/>
        <v>0</v>
      </c>
      <c r="T1061" s="4">
        <f t="shared" si="115"/>
        <v>0</v>
      </c>
      <c r="U1061" s="3">
        <f t="shared" si="116"/>
        <v>0.18392195787643856</v>
      </c>
      <c r="V1061" s="5">
        <f t="shared" si="117"/>
        <v>-1</v>
      </c>
    </row>
    <row r="1062" spans="1:22" x14ac:dyDescent="0.3">
      <c r="A1062">
        <v>1314314</v>
      </c>
      <c r="B1062" s="1">
        <v>42968</v>
      </c>
      <c r="C1062" s="1">
        <v>42968</v>
      </c>
      <c r="D1062" s="6" t="s">
        <v>28</v>
      </c>
      <c r="E1062" s="6" t="s">
        <v>28</v>
      </c>
      <c r="F1062" s="8" t="s">
        <v>24</v>
      </c>
      <c r="G1062" s="8" t="s">
        <v>23</v>
      </c>
      <c r="H1062" s="8">
        <v>103</v>
      </c>
      <c r="I1062" s="8">
        <v>104</v>
      </c>
      <c r="J1062" s="8">
        <v>105</v>
      </c>
      <c r="K1062" s="8">
        <v>92080</v>
      </c>
      <c r="L1062" s="8">
        <v>12</v>
      </c>
      <c r="M1062" s="8">
        <v>16.940000179999998</v>
      </c>
      <c r="N1062" s="8">
        <v>3</v>
      </c>
      <c r="O1062" s="8">
        <v>2</v>
      </c>
      <c r="P1062" s="2">
        <f t="shared" si="112"/>
        <v>1.3032145960034753E-2</v>
      </c>
      <c r="Q1062" s="3">
        <f t="shared" si="113"/>
        <v>1.4116666816666665</v>
      </c>
      <c r="R1062" s="4">
        <f t="shared" si="118"/>
        <v>0.16666666666666666</v>
      </c>
      <c r="S1062" s="3">
        <f t="shared" si="114"/>
        <v>8.4700000899999992</v>
      </c>
      <c r="T1062" s="4">
        <f t="shared" si="115"/>
        <v>0.66666666666666663</v>
      </c>
      <c r="U1062" s="3">
        <f t="shared" si="116"/>
        <v>0.18397046242397913</v>
      </c>
      <c r="V1062" s="5">
        <f t="shared" si="117"/>
        <v>4.903187658643815</v>
      </c>
    </row>
    <row r="1063" spans="1:22" x14ac:dyDescent="0.3">
      <c r="A1063">
        <v>1314316</v>
      </c>
      <c r="B1063" s="1">
        <v>42968</v>
      </c>
      <c r="C1063" s="1">
        <v>42968</v>
      </c>
      <c r="D1063" s="6" t="s">
        <v>28</v>
      </c>
      <c r="E1063" s="6" t="s">
        <v>28</v>
      </c>
      <c r="F1063" s="7" t="s">
        <v>24</v>
      </c>
      <c r="G1063" s="7" t="s">
        <v>23</v>
      </c>
      <c r="H1063" s="7">
        <v>105</v>
      </c>
      <c r="I1063" s="7">
        <v>107</v>
      </c>
      <c r="J1063" s="7">
        <v>107</v>
      </c>
      <c r="K1063" s="7">
        <v>211882</v>
      </c>
      <c r="L1063" s="7">
        <v>33</v>
      </c>
      <c r="M1063" s="7">
        <v>46.649999260000001</v>
      </c>
      <c r="N1063" s="7">
        <v>3</v>
      </c>
      <c r="O1063" s="7">
        <v>1</v>
      </c>
      <c r="P1063" s="2">
        <f t="shared" si="112"/>
        <v>1.5574706676357596E-2</v>
      </c>
      <c r="Q1063" s="3">
        <f t="shared" si="113"/>
        <v>1.4136363412121213</v>
      </c>
      <c r="R1063" s="4">
        <f t="shared" si="118"/>
        <v>3.0303030303030304E-2</v>
      </c>
      <c r="S1063" s="3">
        <f t="shared" si="114"/>
        <v>46.649999260000001</v>
      </c>
      <c r="T1063" s="4">
        <f t="shared" si="115"/>
        <v>0.33333333333333331</v>
      </c>
      <c r="U1063" s="3">
        <f t="shared" si="116"/>
        <v>0.22016971361418147</v>
      </c>
      <c r="V1063" s="5">
        <f t="shared" si="117"/>
        <v>7.1811378202366952E-2</v>
      </c>
    </row>
    <row r="1064" spans="1:22" x14ac:dyDescent="0.3">
      <c r="A1064">
        <v>1314318</v>
      </c>
      <c r="B1064" s="1">
        <v>42968</v>
      </c>
      <c r="C1064" s="1">
        <v>42968</v>
      </c>
      <c r="D1064" s="6" t="s">
        <v>28</v>
      </c>
      <c r="E1064" s="6" t="s">
        <v>28</v>
      </c>
      <c r="F1064" s="8" t="s">
        <v>24</v>
      </c>
      <c r="G1064" s="8" t="s">
        <v>23</v>
      </c>
      <c r="H1064" s="8">
        <v>107</v>
      </c>
      <c r="I1064" s="8">
        <v>110</v>
      </c>
      <c r="J1064" s="8">
        <v>109</v>
      </c>
      <c r="K1064" s="8">
        <v>112776</v>
      </c>
      <c r="L1064" s="8">
        <v>9</v>
      </c>
      <c r="M1064" s="8">
        <v>12.679999949999999</v>
      </c>
      <c r="N1064" s="8">
        <v>1</v>
      </c>
      <c r="O1064" s="8">
        <v>0</v>
      </c>
      <c r="P1064" s="2">
        <f t="shared" si="112"/>
        <v>7.9804213662481374E-3</v>
      </c>
      <c r="Q1064" s="3">
        <f t="shared" si="113"/>
        <v>1.4088888833333333</v>
      </c>
      <c r="R1064" s="4">
        <f t="shared" si="118"/>
        <v>0</v>
      </c>
      <c r="S1064" s="3">
        <f t="shared" si="114"/>
        <v>0</v>
      </c>
      <c r="T1064" s="4">
        <f t="shared" si="115"/>
        <v>0</v>
      </c>
      <c r="U1064" s="3">
        <f t="shared" si="116"/>
        <v>0.11243526947222814</v>
      </c>
      <c r="V1064" s="5">
        <f t="shared" si="117"/>
        <v>-1</v>
      </c>
    </row>
    <row r="1065" spans="1:22" x14ac:dyDescent="0.3">
      <c r="A1065">
        <v>1314319</v>
      </c>
      <c r="B1065" s="1">
        <v>42968</v>
      </c>
      <c r="C1065" s="1">
        <v>42968</v>
      </c>
      <c r="D1065" s="6" t="s">
        <v>28</v>
      </c>
      <c r="E1065" s="6" t="s">
        <v>28</v>
      </c>
      <c r="F1065" s="7" t="s">
        <v>24</v>
      </c>
      <c r="G1065" s="7" t="s">
        <v>23</v>
      </c>
      <c r="H1065" s="7">
        <v>108</v>
      </c>
      <c r="I1065" s="7">
        <v>113</v>
      </c>
      <c r="J1065" s="7">
        <v>111</v>
      </c>
      <c r="K1065" s="7">
        <v>145324</v>
      </c>
      <c r="L1065" s="7">
        <v>14</v>
      </c>
      <c r="M1065" s="7">
        <v>19.820000050000001</v>
      </c>
      <c r="N1065" s="7">
        <v>2</v>
      </c>
      <c r="O1065" s="7">
        <v>1</v>
      </c>
      <c r="P1065" s="2">
        <f t="shared" si="112"/>
        <v>9.6336461974622228E-3</v>
      </c>
      <c r="Q1065" s="3">
        <f t="shared" si="113"/>
        <v>1.4157142892857144</v>
      </c>
      <c r="R1065" s="4">
        <f t="shared" si="118"/>
        <v>7.1428571428571425E-2</v>
      </c>
      <c r="S1065" s="3">
        <f t="shared" si="114"/>
        <v>19.820000050000001</v>
      </c>
      <c r="T1065" s="4">
        <f t="shared" si="115"/>
        <v>0.5</v>
      </c>
      <c r="U1065" s="3">
        <f t="shared" si="116"/>
        <v>0.13638490579670254</v>
      </c>
      <c r="V1065" s="5">
        <f t="shared" si="117"/>
        <v>1.5227043326874259</v>
      </c>
    </row>
    <row r="1066" spans="1:22" x14ac:dyDescent="0.3">
      <c r="A1066">
        <v>1314320</v>
      </c>
      <c r="B1066" s="1">
        <v>42968</v>
      </c>
      <c r="C1066" s="1">
        <v>42968</v>
      </c>
      <c r="D1066" s="6" t="s">
        <v>28</v>
      </c>
      <c r="E1066" s="6" t="s">
        <v>28</v>
      </c>
      <c r="F1066" s="8" t="s">
        <v>24</v>
      </c>
      <c r="G1066" s="8" t="s">
        <v>23</v>
      </c>
      <c r="H1066" s="8">
        <v>109</v>
      </c>
      <c r="I1066" s="8">
        <v>113</v>
      </c>
      <c r="J1066" s="8">
        <v>115</v>
      </c>
      <c r="K1066" s="8">
        <v>106492</v>
      </c>
      <c r="L1066" s="8">
        <v>14</v>
      </c>
      <c r="M1066" s="8">
        <v>21.260000229999999</v>
      </c>
      <c r="N1066" s="8">
        <v>2</v>
      </c>
      <c r="O1066" s="8">
        <v>0</v>
      </c>
      <c r="P1066" s="2">
        <f t="shared" si="112"/>
        <v>1.314652743868084E-2</v>
      </c>
      <c r="Q1066" s="3">
        <f t="shared" si="113"/>
        <v>1.5185714449999999</v>
      </c>
      <c r="R1066" s="4">
        <f t="shared" si="118"/>
        <v>0</v>
      </c>
      <c r="S1066" s="3">
        <f t="shared" si="114"/>
        <v>0</v>
      </c>
      <c r="T1066" s="4">
        <f t="shared" si="115"/>
        <v>0</v>
      </c>
      <c r="U1066" s="3">
        <f t="shared" si="116"/>
        <v>0.19963941169289709</v>
      </c>
      <c r="V1066" s="5">
        <f t="shared" si="117"/>
        <v>-1</v>
      </c>
    </row>
    <row r="1067" spans="1:22" x14ac:dyDescent="0.3">
      <c r="A1067">
        <v>1314321</v>
      </c>
      <c r="B1067" s="1">
        <v>42968</v>
      </c>
      <c r="C1067" s="1">
        <v>42968</v>
      </c>
      <c r="D1067" s="6" t="s">
        <v>28</v>
      </c>
      <c r="E1067" s="6" t="s">
        <v>28</v>
      </c>
      <c r="F1067" s="7" t="s">
        <v>24</v>
      </c>
      <c r="G1067" s="7" t="s">
        <v>23</v>
      </c>
      <c r="H1067" s="7">
        <v>110</v>
      </c>
      <c r="I1067" s="7">
        <v>112</v>
      </c>
      <c r="J1067" s="7">
        <v>111</v>
      </c>
      <c r="K1067" s="7">
        <v>233845</v>
      </c>
      <c r="L1067" s="7">
        <v>30</v>
      </c>
      <c r="M1067" s="7">
        <v>40.730000619999998</v>
      </c>
      <c r="N1067" s="7">
        <v>3</v>
      </c>
      <c r="O1067" s="7">
        <v>0</v>
      </c>
      <c r="P1067" s="2">
        <f t="shared" si="112"/>
        <v>1.2829010669460541E-2</v>
      </c>
      <c r="Q1067" s="3">
        <f t="shared" si="113"/>
        <v>1.3576666873333332</v>
      </c>
      <c r="R1067" s="4">
        <f t="shared" si="118"/>
        <v>0</v>
      </c>
      <c r="S1067" s="3">
        <f t="shared" si="114"/>
        <v>0</v>
      </c>
      <c r="T1067" s="4">
        <f t="shared" si="115"/>
        <v>0</v>
      </c>
      <c r="U1067" s="3">
        <f t="shared" si="116"/>
        <v>0.1741752041737048</v>
      </c>
      <c r="V1067" s="5">
        <f t="shared" si="117"/>
        <v>-1</v>
      </c>
    </row>
    <row r="1068" spans="1:22" x14ac:dyDescent="0.3">
      <c r="A1068">
        <v>1314323</v>
      </c>
      <c r="B1068" s="1">
        <v>42968</v>
      </c>
      <c r="C1068" s="1">
        <v>42968</v>
      </c>
      <c r="D1068" s="6" t="s">
        <v>28</v>
      </c>
      <c r="E1068" s="6" t="s">
        <v>28</v>
      </c>
      <c r="F1068" s="8" t="s">
        <v>24</v>
      </c>
      <c r="G1068" s="8" t="s">
        <v>23</v>
      </c>
      <c r="H1068" s="8">
        <v>112</v>
      </c>
      <c r="I1068" s="8">
        <v>117</v>
      </c>
      <c r="J1068" s="8">
        <v>118</v>
      </c>
      <c r="K1068" s="8">
        <v>155426</v>
      </c>
      <c r="L1068" s="8">
        <v>17</v>
      </c>
      <c r="M1068" s="8">
        <v>25.010000229999999</v>
      </c>
      <c r="N1068" s="8">
        <v>3</v>
      </c>
      <c r="O1068" s="8">
        <v>0</v>
      </c>
      <c r="P1068" s="2">
        <f t="shared" si="112"/>
        <v>1.0937680954280493E-2</v>
      </c>
      <c r="Q1068" s="3">
        <f t="shared" si="113"/>
        <v>1.4711764841176471</v>
      </c>
      <c r="R1068" s="4">
        <f t="shared" si="118"/>
        <v>0</v>
      </c>
      <c r="S1068" s="3">
        <f t="shared" si="114"/>
        <v>0</v>
      </c>
      <c r="T1068" s="4">
        <f t="shared" si="115"/>
        <v>0</v>
      </c>
      <c r="U1068" s="3">
        <f t="shared" si="116"/>
        <v>0.16091259010718928</v>
      </c>
      <c r="V1068" s="5">
        <f t="shared" si="117"/>
        <v>-1</v>
      </c>
    </row>
    <row r="1069" spans="1:22" x14ac:dyDescent="0.3">
      <c r="A1069">
        <v>1314324</v>
      </c>
      <c r="B1069" s="1">
        <v>42968</v>
      </c>
      <c r="C1069" s="1">
        <v>42968</v>
      </c>
      <c r="D1069" s="6" t="s">
        <v>28</v>
      </c>
      <c r="E1069" s="6" t="s">
        <v>28</v>
      </c>
      <c r="F1069" s="7" t="s">
        <v>24</v>
      </c>
      <c r="G1069" s="7" t="s">
        <v>23</v>
      </c>
      <c r="H1069" s="7">
        <v>113</v>
      </c>
      <c r="I1069" s="7">
        <v>116</v>
      </c>
      <c r="J1069" s="7">
        <v>114</v>
      </c>
      <c r="K1069" s="7">
        <v>97540</v>
      </c>
      <c r="L1069" s="7">
        <v>8</v>
      </c>
      <c r="M1069" s="7">
        <v>11.519999500000001</v>
      </c>
      <c r="N1069" s="7">
        <v>2</v>
      </c>
      <c r="O1069" s="7">
        <v>1</v>
      </c>
      <c r="P1069" s="2">
        <f t="shared" si="112"/>
        <v>8.2017633791265122E-3</v>
      </c>
      <c r="Q1069" s="3">
        <f t="shared" si="113"/>
        <v>1.4399999375000001</v>
      </c>
      <c r="R1069" s="4">
        <f t="shared" si="118"/>
        <v>0.125</v>
      </c>
      <c r="S1069" s="3">
        <f t="shared" si="114"/>
        <v>11.519999500000001</v>
      </c>
      <c r="T1069" s="4">
        <f t="shared" si="115"/>
        <v>0.5</v>
      </c>
      <c r="U1069" s="3">
        <f t="shared" si="116"/>
        <v>0.11810538753331967</v>
      </c>
      <c r="V1069" s="5">
        <f t="shared" si="117"/>
        <v>3.3402779661578976</v>
      </c>
    </row>
    <row r="1070" spans="1:22" x14ac:dyDescent="0.3">
      <c r="A1070">
        <v>1314325</v>
      </c>
      <c r="B1070" s="1">
        <v>42968</v>
      </c>
      <c r="C1070" s="1">
        <v>42968</v>
      </c>
      <c r="D1070" s="6" t="s">
        <v>28</v>
      </c>
      <c r="E1070" s="6" t="s">
        <v>28</v>
      </c>
      <c r="F1070" s="8" t="s">
        <v>24</v>
      </c>
      <c r="G1070" s="8" t="s">
        <v>23</v>
      </c>
      <c r="H1070" s="8">
        <v>114</v>
      </c>
      <c r="I1070" s="8">
        <v>117</v>
      </c>
      <c r="J1070" s="8">
        <v>120</v>
      </c>
      <c r="K1070" s="8">
        <v>61441</v>
      </c>
      <c r="L1070" s="8">
        <v>5</v>
      </c>
      <c r="M1070" s="8">
        <v>7.7000000479999997</v>
      </c>
      <c r="N1070" s="8">
        <v>1</v>
      </c>
      <c r="O1070" s="8">
        <v>0</v>
      </c>
      <c r="P1070" s="2">
        <f t="shared" si="112"/>
        <v>8.1378883807229699E-3</v>
      </c>
      <c r="Q1070" s="3">
        <f t="shared" si="113"/>
        <v>1.5400000095999999</v>
      </c>
      <c r="R1070" s="4">
        <f t="shared" si="118"/>
        <v>0</v>
      </c>
      <c r="S1070" s="3">
        <f t="shared" si="114"/>
        <v>0</v>
      </c>
      <c r="T1070" s="4">
        <f t="shared" si="115"/>
        <v>0</v>
      </c>
      <c r="U1070" s="3">
        <f t="shared" si="116"/>
        <v>0.125323481844371</v>
      </c>
      <c r="V1070" s="5">
        <f t="shared" si="117"/>
        <v>-1</v>
      </c>
    </row>
    <row r="1071" spans="1:22" x14ac:dyDescent="0.3">
      <c r="A1071">
        <v>1314326</v>
      </c>
      <c r="B1071" s="1">
        <v>42967</v>
      </c>
      <c r="C1071" s="1">
        <v>42967</v>
      </c>
      <c r="D1071" s="6" t="s">
        <v>28</v>
      </c>
      <c r="E1071" s="6" t="s">
        <v>28</v>
      </c>
      <c r="F1071" s="7" t="s">
        <v>25</v>
      </c>
      <c r="G1071" s="7" t="s">
        <v>23</v>
      </c>
      <c r="H1071" s="7">
        <v>100</v>
      </c>
      <c r="I1071" s="7">
        <v>104</v>
      </c>
      <c r="J1071" s="7">
        <v>104</v>
      </c>
      <c r="K1071" s="7">
        <v>76703</v>
      </c>
      <c r="L1071" s="7">
        <v>9</v>
      </c>
      <c r="M1071" s="7">
        <v>12.149999619999999</v>
      </c>
      <c r="N1071" s="7">
        <v>3</v>
      </c>
      <c r="O1071" s="7">
        <v>1</v>
      </c>
      <c r="P1071" s="2">
        <f t="shared" si="112"/>
        <v>1.1733569743034822E-2</v>
      </c>
      <c r="Q1071" s="3">
        <f t="shared" si="113"/>
        <v>1.3499999577777777</v>
      </c>
      <c r="R1071" s="4">
        <f t="shared" si="118"/>
        <v>0.1111111111111111</v>
      </c>
      <c r="S1071" s="3">
        <f t="shared" si="114"/>
        <v>12.149999619999999</v>
      </c>
      <c r="T1071" s="4">
        <f t="shared" si="115"/>
        <v>0.33333333333333331</v>
      </c>
      <c r="U1071" s="3">
        <f t="shared" si="116"/>
        <v>0.1584031865767962</v>
      </c>
      <c r="V1071" s="5">
        <f t="shared" si="117"/>
        <v>3.1152264661552311</v>
      </c>
    </row>
    <row r="1072" spans="1:22" x14ac:dyDescent="0.3">
      <c r="A1072">
        <v>1314327</v>
      </c>
      <c r="B1072" s="1">
        <v>42967</v>
      </c>
      <c r="C1072" s="1">
        <v>42967</v>
      </c>
      <c r="D1072" s="6" t="s">
        <v>28</v>
      </c>
      <c r="E1072" s="6" t="s">
        <v>28</v>
      </c>
      <c r="F1072" s="8" t="s">
        <v>25</v>
      </c>
      <c r="G1072" s="8" t="s">
        <v>23</v>
      </c>
      <c r="H1072" s="8">
        <v>101</v>
      </c>
      <c r="I1072" s="8">
        <v>107</v>
      </c>
      <c r="J1072" s="8">
        <v>105</v>
      </c>
      <c r="K1072" s="8">
        <v>68619</v>
      </c>
      <c r="L1072" s="8">
        <v>10</v>
      </c>
      <c r="M1072" s="8">
        <v>14.960000340000001</v>
      </c>
      <c r="N1072" s="8">
        <v>1</v>
      </c>
      <c r="O1072" s="8">
        <v>0</v>
      </c>
      <c r="P1072" s="2">
        <f t="shared" si="112"/>
        <v>1.4573223159766247E-2</v>
      </c>
      <c r="Q1072" s="3">
        <f t="shared" si="113"/>
        <v>1.4960000340000001</v>
      </c>
      <c r="R1072" s="4">
        <f t="shared" si="118"/>
        <v>0</v>
      </c>
      <c r="S1072" s="3">
        <f t="shared" si="114"/>
        <v>0</v>
      </c>
      <c r="T1072" s="4">
        <f t="shared" si="115"/>
        <v>0</v>
      </c>
      <c r="U1072" s="3">
        <f t="shared" si="116"/>
        <v>0.21801542342499894</v>
      </c>
      <c r="V1072" s="5">
        <f t="shared" si="117"/>
        <v>-1</v>
      </c>
    </row>
    <row r="1073" spans="1:22" x14ac:dyDescent="0.3">
      <c r="A1073">
        <v>1314330</v>
      </c>
      <c r="B1073" s="1">
        <v>42967</v>
      </c>
      <c r="C1073" s="1">
        <v>42967</v>
      </c>
      <c r="D1073" s="6" t="s">
        <v>28</v>
      </c>
      <c r="E1073" s="6" t="s">
        <v>28</v>
      </c>
      <c r="F1073" s="7" t="s">
        <v>25</v>
      </c>
      <c r="G1073" s="7" t="s">
        <v>23</v>
      </c>
      <c r="H1073" s="7">
        <v>104</v>
      </c>
      <c r="I1073" s="7">
        <v>108</v>
      </c>
      <c r="J1073" s="7">
        <v>108</v>
      </c>
      <c r="K1073" s="7">
        <v>17559</v>
      </c>
      <c r="L1073" s="7">
        <v>1</v>
      </c>
      <c r="M1073" s="7">
        <v>1.4900000099999999</v>
      </c>
      <c r="N1073" s="7">
        <v>1</v>
      </c>
      <c r="O1073" s="7">
        <v>1</v>
      </c>
      <c r="P1073" s="2">
        <f t="shared" si="112"/>
        <v>5.6950851415228662E-3</v>
      </c>
      <c r="Q1073" s="3">
        <f t="shared" si="113"/>
        <v>1.4900000099999999</v>
      </c>
      <c r="R1073" s="4">
        <f t="shared" si="118"/>
        <v>1</v>
      </c>
      <c r="S1073" s="3">
        <f t="shared" si="114"/>
        <v>1.4900000099999999</v>
      </c>
      <c r="T1073" s="4">
        <f t="shared" si="115"/>
        <v>1</v>
      </c>
      <c r="U1073" s="3">
        <f t="shared" si="116"/>
        <v>8.4856769178199204E-2</v>
      </c>
      <c r="V1073" s="5">
        <f t="shared" si="117"/>
        <v>32.557046754650692</v>
      </c>
    </row>
    <row r="1074" spans="1:22" x14ac:dyDescent="0.3">
      <c r="A1074">
        <v>1314331</v>
      </c>
      <c r="B1074" s="1">
        <v>42967</v>
      </c>
      <c r="C1074" s="1">
        <v>42967</v>
      </c>
      <c r="D1074" s="6" t="s">
        <v>28</v>
      </c>
      <c r="E1074" s="6" t="s">
        <v>28</v>
      </c>
      <c r="F1074" s="8" t="s">
        <v>25</v>
      </c>
      <c r="G1074" s="8" t="s">
        <v>23</v>
      </c>
      <c r="H1074" s="8">
        <v>105</v>
      </c>
      <c r="I1074" s="8">
        <v>107</v>
      </c>
      <c r="J1074" s="8">
        <v>108</v>
      </c>
      <c r="K1074" s="8">
        <v>137879</v>
      </c>
      <c r="L1074" s="8">
        <v>19</v>
      </c>
      <c r="M1074" s="8">
        <v>28.470000030000001</v>
      </c>
      <c r="N1074" s="8">
        <v>2</v>
      </c>
      <c r="O1074" s="8">
        <v>0</v>
      </c>
      <c r="P1074" s="2">
        <f t="shared" si="112"/>
        <v>1.3780198579914273E-2</v>
      </c>
      <c r="Q1074" s="3">
        <f t="shared" si="113"/>
        <v>1.4984210542105263</v>
      </c>
      <c r="R1074" s="4">
        <f t="shared" si="118"/>
        <v>0</v>
      </c>
      <c r="S1074" s="3">
        <f t="shared" si="114"/>
        <v>0</v>
      </c>
      <c r="T1074" s="4">
        <f t="shared" si="115"/>
        <v>0</v>
      </c>
      <c r="U1074" s="3">
        <f t="shared" si="116"/>
        <v>0.20648539683345543</v>
      </c>
      <c r="V1074" s="5">
        <f t="shared" si="117"/>
        <v>-1</v>
      </c>
    </row>
    <row r="1075" spans="1:22" x14ac:dyDescent="0.3">
      <c r="A1075">
        <v>1314332</v>
      </c>
      <c r="B1075" s="1">
        <v>42967</v>
      </c>
      <c r="C1075" s="1">
        <v>42967</v>
      </c>
      <c r="D1075" s="6" t="s">
        <v>28</v>
      </c>
      <c r="E1075" s="6" t="s">
        <v>28</v>
      </c>
      <c r="F1075" s="7" t="s">
        <v>25</v>
      </c>
      <c r="G1075" s="7" t="s">
        <v>23</v>
      </c>
      <c r="H1075" s="7">
        <v>106</v>
      </c>
      <c r="I1075" s="7">
        <v>110</v>
      </c>
      <c r="J1075" s="7">
        <v>112</v>
      </c>
      <c r="K1075" s="7">
        <v>67710</v>
      </c>
      <c r="L1075" s="7">
        <v>10</v>
      </c>
      <c r="M1075" s="7">
        <v>15.14999998</v>
      </c>
      <c r="N1075" s="7">
        <v>1</v>
      </c>
      <c r="O1075" s="7">
        <v>0</v>
      </c>
      <c r="P1075" s="2">
        <f t="shared" si="112"/>
        <v>1.4768867227883621E-2</v>
      </c>
      <c r="Q1075" s="3">
        <f t="shared" si="113"/>
        <v>1.514999998</v>
      </c>
      <c r="R1075" s="4">
        <f t="shared" si="118"/>
        <v>0</v>
      </c>
      <c r="S1075" s="3">
        <f t="shared" si="114"/>
        <v>0</v>
      </c>
      <c r="T1075" s="4">
        <f t="shared" si="115"/>
        <v>0</v>
      </c>
      <c r="U1075" s="3">
        <f t="shared" si="116"/>
        <v>0.2237483382070595</v>
      </c>
      <c r="V1075" s="5">
        <f t="shared" si="117"/>
        <v>-1</v>
      </c>
    </row>
    <row r="1076" spans="1:22" x14ac:dyDescent="0.3">
      <c r="A1076">
        <v>1314333</v>
      </c>
      <c r="B1076" s="1">
        <v>42968</v>
      </c>
      <c r="C1076" s="1">
        <v>42968</v>
      </c>
      <c r="D1076" s="6" t="s">
        <v>28</v>
      </c>
      <c r="E1076" s="6" t="s">
        <v>28</v>
      </c>
      <c r="F1076" s="8" t="s">
        <v>25</v>
      </c>
      <c r="G1076" s="8" t="s">
        <v>23</v>
      </c>
      <c r="H1076" s="8">
        <v>107</v>
      </c>
      <c r="I1076" s="8">
        <v>113</v>
      </c>
      <c r="J1076" s="8">
        <v>108</v>
      </c>
      <c r="K1076" s="8">
        <v>348180</v>
      </c>
      <c r="L1076" s="8">
        <v>41</v>
      </c>
      <c r="M1076" s="8">
        <v>60.229999069999998</v>
      </c>
      <c r="N1076" s="8">
        <v>3</v>
      </c>
      <c r="O1076" s="8">
        <v>1</v>
      </c>
      <c r="P1076" s="2">
        <f t="shared" si="112"/>
        <v>1.1775518410017807E-2</v>
      </c>
      <c r="Q1076" s="3">
        <f t="shared" si="113"/>
        <v>1.4690243675609755</v>
      </c>
      <c r="R1076" s="4">
        <f t="shared" si="118"/>
        <v>2.4390243902439025E-2</v>
      </c>
      <c r="S1076" s="3">
        <f t="shared" si="114"/>
        <v>60.229999069999998</v>
      </c>
      <c r="T1076" s="4">
        <f t="shared" si="115"/>
        <v>0.33333333333333331</v>
      </c>
      <c r="U1076" s="3">
        <f t="shared" si="116"/>
        <v>0.17298523484979034</v>
      </c>
      <c r="V1076" s="5">
        <f t="shared" si="117"/>
        <v>-0.16984889968386976</v>
      </c>
    </row>
    <row r="1077" spans="1:22" x14ac:dyDescent="0.3">
      <c r="A1077">
        <v>1314334</v>
      </c>
      <c r="B1077" s="1">
        <v>42968</v>
      </c>
      <c r="C1077" s="1">
        <v>42968</v>
      </c>
      <c r="D1077" s="6" t="s">
        <v>28</v>
      </c>
      <c r="E1077" s="6" t="s">
        <v>28</v>
      </c>
      <c r="F1077" s="7" t="s">
        <v>25</v>
      </c>
      <c r="G1077" s="7" t="s">
        <v>23</v>
      </c>
      <c r="H1077" s="7">
        <v>108</v>
      </c>
      <c r="I1077" s="7">
        <v>110</v>
      </c>
      <c r="J1077" s="7">
        <v>112</v>
      </c>
      <c r="K1077" s="7">
        <v>146246</v>
      </c>
      <c r="L1077" s="7">
        <v>18</v>
      </c>
      <c r="M1077" s="7">
        <v>28.719999550000001</v>
      </c>
      <c r="N1077" s="7">
        <v>3</v>
      </c>
      <c r="O1077" s="7">
        <v>1</v>
      </c>
      <c r="P1077" s="2">
        <f t="shared" si="112"/>
        <v>1.230802893754359E-2</v>
      </c>
      <c r="Q1077" s="3">
        <f t="shared" si="113"/>
        <v>1.5955555305555555</v>
      </c>
      <c r="R1077" s="4">
        <f t="shared" si="118"/>
        <v>5.5555555555555552E-2</v>
      </c>
      <c r="S1077" s="3">
        <f t="shared" si="114"/>
        <v>28.719999550000001</v>
      </c>
      <c r="T1077" s="4">
        <f t="shared" si="115"/>
        <v>0.33333333333333331</v>
      </c>
      <c r="U1077" s="3">
        <f t="shared" si="116"/>
        <v>0.19638143641535494</v>
      </c>
      <c r="V1077" s="5">
        <f t="shared" si="117"/>
        <v>0.74094710248698448</v>
      </c>
    </row>
    <row r="1078" spans="1:22" x14ac:dyDescent="0.3">
      <c r="A1078">
        <v>1314336</v>
      </c>
      <c r="B1078" s="1">
        <v>42967</v>
      </c>
      <c r="C1078" s="1">
        <v>42967</v>
      </c>
      <c r="D1078" s="6" t="s">
        <v>28</v>
      </c>
      <c r="E1078" s="6" t="s">
        <v>28</v>
      </c>
      <c r="F1078" s="8" t="s">
        <v>25</v>
      </c>
      <c r="G1078" s="8" t="s">
        <v>23</v>
      </c>
      <c r="H1078" s="8">
        <v>110</v>
      </c>
      <c r="I1078" s="8">
        <v>116</v>
      </c>
      <c r="J1078" s="8">
        <v>113</v>
      </c>
      <c r="K1078" s="8">
        <v>187236</v>
      </c>
      <c r="L1078" s="8">
        <v>24</v>
      </c>
      <c r="M1078" s="8">
        <v>34.869999649999997</v>
      </c>
      <c r="N1078" s="8">
        <v>2</v>
      </c>
      <c r="O1078" s="8">
        <v>2</v>
      </c>
      <c r="P1078" s="2">
        <f t="shared" si="112"/>
        <v>1.2818047811318336E-2</v>
      </c>
      <c r="Q1078" s="3">
        <f t="shared" si="113"/>
        <v>1.4529166520833332</v>
      </c>
      <c r="R1078" s="4">
        <f t="shared" si="118"/>
        <v>8.3333333333333329E-2</v>
      </c>
      <c r="S1078" s="3">
        <f t="shared" si="114"/>
        <v>17.434999824999998</v>
      </c>
      <c r="T1078" s="4">
        <f t="shared" si="115"/>
        <v>1</v>
      </c>
      <c r="U1078" s="3">
        <f t="shared" si="116"/>
        <v>0.18623555112264734</v>
      </c>
      <c r="V1078" s="5">
        <f t="shared" si="117"/>
        <v>1.8677946946867838</v>
      </c>
    </row>
    <row r="1079" spans="1:22" x14ac:dyDescent="0.3">
      <c r="A1079">
        <v>1314337</v>
      </c>
      <c r="B1079" s="1">
        <v>42967</v>
      </c>
      <c r="C1079" s="1">
        <v>42967</v>
      </c>
      <c r="D1079" s="6" t="s">
        <v>28</v>
      </c>
      <c r="E1079" s="6" t="s">
        <v>28</v>
      </c>
      <c r="F1079" s="7" t="s">
        <v>25</v>
      </c>
      <c r="G1079" s="7" t="s">
        <v>23</v>
      </c>
      <c r="H1079" s="7">
        <v>111</v>
      </c>
      <c r="I1079" s="7">
        <v>112</v>
      </c>
      <c r="J1079" s="7">
        <v>112</v>
      </c>
      <c r="K1079" s="7">
        <v>72157</v>
      </c>
      <c r="L1079" s="7">
        <v>9</v>
      </c>
      <c r="M1079" s="7">
        <v>13.50000036</v>
      </c>
      <c r="N1079" s="7">
        <v>1</v>
      </c>
      <c r="O1079" s="7">
        <v>1</v>
      </c>
      <c r="P1079" s="2">
        <f t="shared" si="112"/>
        <v>1.2472802361517248E-2</v>
      </c>
      <c r="Q1079" s="3">
        <f t="shared" si="113"/>
        <v>1.50000004</v>
      </c>
      <c r="R1079" s="4">
        <f t="shared" si="118"/>
        <v>0.1111111111111111</v>
      </c>
      <c r="S1079" s="3">
        <f t="shared" si="114"/>
        <v>13.50000036</v>
      </c>
      <c r="T1079" s="4">
        <f t="shared" si="115"/>
        <v>1</v>
      </c>
      <c r="U1079" s="3">
        <f t="shared" si="116"/>
        <v>0.18709204041187966</v>
      </c>
      <c r="V1079" s="5">
        <f t="shared" si="117"/>
        <v>2.7037036049382741</v>
      </c>
    </row>
    <row r="1080" spans="1:22" x14ac:dyDescent="0.3">
      <c r="A1080">
        <v>1314338</v>
      </c>
      <c r="B1080" s="1">
        <v>42968</v>
      </c>
      <c r="C1080" s="1">
        <v>42968</v>
      </c>
      <c r="D1080" s="6" t="s">
        <v>28</v>
      </c>
      <c r="E1080" s="6" t="s">
        <v>28</v>
      </c>
      <c r="F1080" s="8" t="s">
        <v>25</v>
      </c>
      <c r="G1080" s="8" t="s">
        <v>23</v>
      </c>
      <c r="H1080" s="8">
        <v>112</v>
      </c>
      <c r="I1080" s="8">
        <v>113</v>
      </c>
      <c r="J1080" s="8">
        <v>114</v>
      </c>
      <c r="K1080" s="8">
        <v>91180</v>
      </c>
      <c r="L1080" s="8">
        <v>10</v>
      </c>
      <c r="M1080" s="8">
        <v>13.559999940000001</v>
      </c>
      <c r="N1080" s="8">
        <v>1</v>
      </c>
      <c r="O1080" s="8">
        <v>0</v>
      </c>
      <c r="P1080" s="2">
        <f t="shared" si="112"/>
        <v>1.0967317394165389E-2</v>
      </c>
      <c r="Q1080" s="3">
        <f t="shared" si="113"/>
        <v>1.355999994</v>
      </c>
      <c r="R1080" s="4">
        <f t="shared" si="118"/>
        <v>0</v>
      </c>
      <c r="S1080" s="3">
        <f t="shared" si="114"/>
        <v>0</v>
      </c>
      <c r="T1080" s="4">
        <f t="shared" si="115"/>
        <v>0</v>
      </c>
      <c r="U1080" s="3">
        <f t="shared" si="116"/>
        <v>0.14871682320684362</v>
      </c>
      <c r="V1080" s="5">
        <f t="shared" si="117"/>
        <v>-1</v>
      </c>
    </row>
    <row r="1081" spans="1:22" x14ac:dyDescent="0.3">
      <c r="A1081">
        <v>1314339</v>
      </c>
      <c r="B1081" s="1">
        <v>42969</v>
      </c>
      <c r="C1081" s="1">
        <v>42969</v>
      </c>
      <c r="D1081" s="6" t="s">
        <v>28</v>
      </c>
      <c r="E1081" s="6" t="s">
        <v>28</v>
      </c>
      <c r="F1081" s="7" t="s">
        <v>25</v>
      </c>
      <c r="G1081" s="7" t="s">
        <v>23</v>
      </c>
      <c r="H1081" s="7">
        <v>113</v>
      </c>
      <c r="I1081" s="7">
        <v>114</v>
      </c>
      <c r="J1081" s="7">
        <v>116</v>
      </c>
      <c r="K1081" s="7">
        <v>86293</v>
      </c>
      <c r="L1081" s="7">
        <v>6</v>
      </c>
      <c r="M1081" s="7">
        <v>9.2599998709999998</v>
      </c>
      <c r="N1081" s="7">
        <v>1</v>
      </c>
      <c r="O1081" s="7">
        <v>1</v>
      </c>
      <c r="P1081" s="2">
        <f t="shared" si="112"/>
        <v>6.9530552883779687E-3</v>
      </c>
      <c r="Q1081" s="3">
        <f t="shared" si="113"/>
        <v>1.5433333118333332</v>
      </c>
      <c r="R1081" s="4">
        <f t="shared" si="118"/>
        <v>0.16666666666666666</v>
      </c>
      <c r="S1081" s="3">
        <f t="shared" si="114"/>
        <v>9.2599998709999998</v>
      </c>
      <c r="T1081" s="4">
        <f t="shared" si="115"/>
        <v>1</v>
      </c>
      <c r="U1081" s="3">
        <f t="shared" si="116"/>
        <v>0.10730881845572642</v>
      </c>
      <c r="V1081" s="5">
        <f t="shared" si="117"/>
        <v>4.3995681097780013</v>
      </c>
    </row>
    <row r="1082" spans="1:22" x14ac:dyDescent="0.3">
      <c r="A1082">
        <v>1314341</v>
      </c>
      <c r="B1082" s="1">
        <v>42970</v>
      </c>
      <c r="C1082" s="1">
        <v>42970</v>
      </c>
      <c r="D1082" s="6" t="s">
        <v>28</v>
      </c>
      <c r="E1082" s="6" t="s">
        <v>28</v>
      </c>
      <c r="F1082" s="8" t="s">
        <v>26</v>
      </c>
      <c r="G1082" s="8" t="s">
        <v>23</v>
      </c>
      <c r="H1082" s="8">
        <v>100</v>
      </c>
      <c r="I1082" s="8">
        <v>105</v>
      </c>
      <c r="J1082" s="8">
        <v>106</v>
      </c>
      <c r="K1082" s="8">
        <v>101410</v>
      </c>
      <c r="L1082" s="8">
        <v>12</v>
      </c>
      <c r="M1082" s="8">
        <v>17.940000059999999</v>
      </c>
      <c r="N1082" s="8">
        <v>4</v>
      </c>
      <c r="O1082" s="8">
        <v>0</v>
      </c>
      <c r="P1082" s="2">
        <f t="shared" si="112"/>
        <v>1.1833152549058279E-2</v>
      </c>
      <c r="Q1082" s="3">
        <f t="shared" si="113"/>
        <v>1.4950000049999999</v>
      </c>
      <c r="R1082" s="4">
        <f t="shared" si="118"/>
        <v>0</v>
      </c>
      <c r="S1082" s="3">
        <f t="shared" si="114"/>
        <v>0</v>
      </c>
      <c r="T1082" s="4">
        <f t="shared" si="115"/>
        <v>0</v>
      </c>
      <c r="U1082" s="3">
        <f t="shared" si="116"/>
        <v>0.17690563120007888</v>
      </c>
      <c r="V1082" s="5">
        <f t="shared" si="117"/>
        <v>-1</v>
      </c>
    </row>
    <row r="1083" spans="1:22" x14ac:dyDescent="0.3">
      <c r="A1083">
        <v>1314343</v>
      </c>
      <c r="B1083" s="1">
        <v>42970</v>
      </c>
      <c r="C1083" s="1">
        <v>42970</v>
      </c>
      <c r="D1083" s="6" t="s">
        <v>28</v>
      </c>
      <c r="E1083" s="6" t="s">
        <v>28</v>
      </c>
      <c r="F1083" s="7" t="s">
        <v>26</v>
      </c>
      <c r="G1083" s="7" t="s">
        <v>23</v>
      </c>
      <c r="H1083" s="7">
        <v>102</v>
      </c>
      <c r="I1083" s="7">
        <v>107</v>
      </c>
      <c r="J1083" s="7">
        <v>103</v>
      </c>
      <c r="K1083" s="7">
        <v>134245</v>
      </c>
      <c r="L1083" s="7">
        <v>18</v>
      </c>
      <c r="M1083" s="7">
        <v>25.750000239999999</v>
      </c>
      <c r="N1083" s="7">
        <v>2</v>
      </c>
      <c r="O1083" s="7">
        <v>1</v>
      </c>
      <c r="P1083" s="2">
        <f t="shared" si="112"/>
        <v>1.3408320607843867E-2</v>
      </c>
      <c r="Q1083" s="3">
        <f t="shared" si="113"/>
        <v>1.4305555688888889</v>
      </c>
      <c r="R1083" s="4">
        <f t="shared" si="118"/>
        <v>5.5555555555555552E-2</v>
      </c>
      <c r="S1083" s="3">
        <f t="shared" si="114"/>
        <v>25.750000239999999</v>
      </c>
      <c r="T1083" s="4">
        <f t="shared" si="115"/>
        <v>0.5</v>
      </c>
      <c r="U1083" s="3">
        <f t="shared" si="116"/>
        <v>0.19181347714998695</v>
      </c>
      <c r="V1083" s="5">
        <f t="shared" si="117"/>
        <v>0.94174755471769278</v>
      </c>
    </row>
    <row r="1084" spans="1:22" x14ac:dyDescent="0.3">
      <c r="A1084">
        <v>1314345</v>
      </c>
      <c r="B1084" s="1">
        <v>42970</v>
      </c>
      <c r="C1084" s="1">
        <v>42970</v>
      </c>
      <c r="D1084" s="6" t="s">
        <v>28</v>
      </c>
      <c r="E1084" s="6" t="s">
        <v>28</v>
      </c>
      <c r="F1084" s="8" t="s">
        <v>26</v>
      </c>
      <c r="G1084" s="8" t="s">
        <v>23</v>
      </c>
      <c r="H1084" s="8">
        <v>104</v>
      </c>
      <c r="I1084" s="8">
        <v>105</v>
      </c>
      <c r="J1084" s="8">
        <v>107</v>
      </c>
      <c r="K1084" s="8">
        <v>125650</v>
      </c>
      <c r="L1084" s="8">
        <v>20</v>
      </c>
      <c r="M1084" s="8">
        <v>30.080000760000001</v>
      </c>
      <c r="N1084" s="8">
        <v>4</v>
      </c>
      <c r="O1084" s="8">
        <v>0</v>
      </c>
      <c r="P1084" s="2">
        <f t="shared" si="112"/>
        <v>1.5917230401910069E-2</v>
      </c>
      <c r="Q1084" s="3">
        <f t="shared" si="113"/>
        <v>1.504000038</v>
      </c>
      <c r="R1084" s="4">
        <f t="shared" si="118"/>
        <v>0</v>
      </c>
      <c r="S1084" s="3">
        <f t="shared" si="114"/>
        <v>0</v>
      </c>
      <c r="T1084" s="4">
        <f t="shared" si="115"/>
        <v>0</v>
      </c>
      <c r="U1084" s="3">
        <f t="shared" si="116"/>
        <v>0.23939515129327496</v>
      </c>
      <c r="V1084" s="5">
        <f t="shared" si="117"/>
        <v>-1</v>
      </c>
    </row>
    <row r="1085" spans="1:22" x14ac:dyDescent="0.3">
      <c r="A1085">
        <v>1314346</v>
      </c>
      <c r="B1085" s="1">
        <v>42970</v>
      </c>
      <c r="C1085" s="1">
        <v>42970</v>
      </c>
      <c r="D1085" s="6" t="s">
        <v>28</v>
      </c>
      <c r="E1085" s="6" t="s">
        <v>28</v>
      </c>
      <c r="F1085" s="7" t="s">
        <v>26</v>
      </c>
      <c r="G1085" s="7" t="s">
        <v>23</v>
      </c>
      <c r="H1085" s="7">
        <v>105</v>
      </c>
      <c r="I1085" s="7">
        <v>109</v>
      </c>
      <c r="J1085" s="7">
        <v>106</v>
      </c>
      <c r="K1085" s="7">
        <v>50406</v>
      </c>
      <c r="L1085" s="7">
        <v>5</v>
      </c>
      <c r="M1085" s="7">
        <v>7.26000011</v>
      </c>
      <c r="N1085" s="7">
        <v>1</v>
      </c>
      <c r="O1085" s="7">
        <v>1</v>
      </c>
      <c r="P1085" s="2">
        <f t="shared" si="112"/>
        <v>9.9194540332500098E-3</v>
      </c>
      <c r="Q1085" s="3">
        <f t="shared" si="113"/>
        <v>1.452000022</v>
      </c>
      <c r="R1085" s="4">
        <f t="shared" si="118"/>
        <v>0.2</v>
      </c>
      <c r="S1085" s="3">
        <f t="shared" si="114"/>
        <v>7.26000011</v>
      </c>
      <c r="T1085" s="4">
        <f t="shared" si="115"/>
        <v>1</v>
      </c>
      <c r="U1085" s="3">
        <f t="shared" si="116"/>
        <v>0.14403047474507005</v>
      </c>
      <c r="V1085" s="5">
        <f t="shared" si="117"/>
        <v>5.8870522372485201</v>
      </c>
    </row>
    <row r="1086" spans="1:22" x14ac:dyDescent="0.3">
      <c r="A1086">
        <v>1314348</v>
      </c>
      <c r="B1086" s="1">
        <v>42970</v>
      </c>
      <c r="C1086" s="1">
        <v>42970</v>
      </c>
      <c r="D1086" s="6" t="s">
        <v>28</v>
      </c>
      <c r="E1086" s="6" t="s">
        <v>28</v>
      </c>
      <c r="F1086" s="8" t="s">
        <v>26</v>
      </c>
      <c r="G1086" s="8" t="s">
        <v>23</v>
      </c>
      <c r="H1086" s="8">
        <v>107</v>
      </c>
      <c r="I1086" s="8">
        <v>113</v>
      </c>
      <c r="J1086" s="8">
        <v>111</v>
      </c>
      <c r="K1086" s="8">
        <v>121769</v>
      </c>
      <c r="L1086" s="8">
        <v>13</v>
      </c>
      <c r="M1086" s="8">
        <v>18.419999959999998</v>
      </c>
      <c r="N1086" s="8">
        <v>2</v>
      </c>
      <c r="O1086" s="8">
        <v>1</v>
      </c>
      <c r="P1086" s="2">
        <f t="shared" si="112"/>
        <v>1.0675952007489591E-2</v>
      </c>
      <c r="Q1086" s="3">
        <f t="shared" si="113"/>
        <v>1.4169230738461538</v>
      </c>
      <c r="R1086" s="4">
        <f t="shared" si="118"/>
        <v>7.6923076923076927E-2</v>
      </c>
      <c r="S1086" s="3">
        <f t="shared" si="114"/>
        <v>18.419999959999998</v>
      </c>
      <c r="T1086" s="4">
        <f t="shared" si="115"/>
        <v>0.5</v>
      </c>
      <c r="U1086" s="3">
        <f t="shared" si="116"/>
        <v>0.15127002734686168</v>
      </c>
      <c r="V1086" s="5">
        <f t="shared" si="117"/>
        <v>1.7144408310845622</v>
      </c>
    </row>
    <row r="1087" spans="1:22" x14ac:dyDescent="0.3">
      <c r="A1087">
        <v>1314349</v>
      </c>
      <c r="B1087" s="1">
        <v>42970</v>
      </c>
      <c r="C1087" s="1">
        <v>42970</v>
      </c>
      <c r="D1087" s="6" t="s">
        <v>28</v>
      </c>
      <c r="E1087" s="6" t="s">
        <v>28</v>
      </c>
      <c r="F1087" s="7" t="s">
        <v>26</v>
      </c>
      <c r="G1087" s="7" t="s">
        <v>23</v>
      </c>
      <c r="H1087" s="7">
        <v>108</v>
      </c>
      <c r="I1087" s="7">
        <v>113</v>
      </c>
      <c r="J1087" s="7">
        <v>113</v>
      </c>
      <c r="K1087" s="7">
        <v>267106</v>
      </c>
      <c r="L1087" s="7">
        <v>34</v>
      </c>
      <c r="M1087" s="7">
        <v>50.5</v>
      </c>
      <c r="N1087" s="7">
        <v>4</v>
      </c>
      <c r="O1087" s="7">
        <v>1</v>
      </c>
      <c r="P1087" s="2">
        <f t="shared" si="112"/>
        <v>1.2729028924846316E-2</v>
      </c>
      <c r="Q1087" s="3">
        <f t="shared" si="113"/>
        <v>1.4852941176470589</v>
      </c>
      <c r="R1087" s="4">
        <f t="shared" si="118"/>
        <v>2.9411764705882353E-2</v>
      </c>
      <c r="S1087" s="3">
        <f t="shared" si="114"/>
        <v>50.5</v>
      </c>
      <c r="T1087" s="4">
        <f t="shared" si="115"/>
        <v>0.25</v>
      </c>
      <c r="U1087" s="3">
        <f t="shared" si="116"/>
        <v>0.18906351785433498</v>
      </c>
      <c r="V1087" s="5">
        <f t="shared" si="117"/>
        <v>-9.9009900990099011E-3</v>
      </c>
    </row>
    <row r="1088" spans="1:22" x14ac:dyDescent="0.3">
      <c r="A1088">
        <v>1314350</v>
      </c>
      <c r="B1088" s="1">
        <v>42970</v>
      </c>
      <c r="C1088" s="1">
        <v>42970</v>
      </c>
      <c r="D1088" s="6" t="s">
        <v>28</v>
      </c>
      <c r="E1088" s="6" t="s">
        <v>28</v>
      </c>
      <c r="F1088" s="8" t="s">
        <v>26</v>
      </c>
      <c r="G1088" s="8" t="s">
        <v>23</v>
      </c>
      <c r="H1088" s="8">
        <v>109</v>
      </c>
      <c r="I1088" s="8">
        <v>115</v>
      </c>
      <c r="J1088" s="8">
        <v>115</v>
      </c>
      <c r="K1088" s="8">
        <v>365539</v>
      </c>
      <c r="L1088" s="8">
        <v>57</v>
      </c>
      <c r="M1088" s="8">
        <v>82.139999149999994</v>
      </c>
      <c r="N1088" s="8">
        <v>5</v>
      </c>
      <c r="O1088" s="8">
        <v>2</v>
      </c>
      <c r="P1088" s="2">
        <f t="shared" si="112"/>
        <v>1.5593411373341831E-2</v>
      </c>
      <c r="Q1088" s="3">
        <f t="shared" si="113"/>
        <v>1.4410526166666666</v>
      </c>
      <c r="R1088" s="4">
        <f t="shared" si="118"/>
        <v>3.5087719298245612E-2</v>
      </c>
      <c r="S1088" s="3">
        <f t="shared" si="114"/>
        <v>41.069999574999997</v>
      </c>
      <c r="T1088" s="4">
        <f t="shared" si="115"/>
        <v>0.4</v>
      </c>
      <c r="U1088" s="3">
        <f t="shared" si="116"/>
        <v>0.22470926262314006</v>
      </c>
      <c r="V1088" s="5">
        <f t="shared" si="117"/>
        <v>0.21743366246431239</v>
      </c>
    </row>
    <row r="1089" spans="1:22" x14ac:dyDescent="0.3">
      <c r="A1089">
        <v>1314351</v>
      </c>
      <c r="B1089" s="1">
        <v>42970</v>
      </c>
      <c r="C1089" s="1">
        <v>42970</v>
      </c>
      <c r="D1089" s="6" t="s">
        <v>28</v>
      </c>
      <c r="E1089" s="6" t="s">
        <v>28</v>
      </c>
      <c r="F1089" s="7" t="s">
        <v>26</v>
      </c>
      <c r="G1089" s="7" t="s">
        <v>23</v>
      </c>
      <c r="H1089" s="7">
        <v>110</v>
      </c>
      <c r="I1089" s="7">
        <v>114</v>
      </c>
      <c r="J1089" s="7">
        <v>111</v>
      </c>
      <c r="K1089" s="7">
        <v>188758</v>
      </c>
      <c r="L1089" s="7">
        <v>25</v>
      </c>
      <c r="M1089" s="7">
        <v>36.600000379999997</v>
      </c>
      <c r="N1089" s="7">
        <v>2</v>
      </c>
      <c r="O1089" s="7">
        <v>1</v>
      </c>
      <c r="P1089" s="2">
        <f t="shared" si="112"/>
        <v>1.3244471757488423E-2</v>
      </c>
      <c r="Q1089" s="3">
        <f t="shared" si="113"/>
        <v>1.4640000151999999</v>
      </c>
      <c r="R1089" s="4">
        <f t="shared" si="118"/>
        <v>0.04</v>
      </c>
      <c r="S1089" s="3">
        <f t="shared" si="114"/>
        <v>36.600000379999997</v>
      </c>
      <c r="T1089" s="4">
        <f t="shared" si="115"/>
        <v>0.5</v>
      </c>
      <c r="U1089" s="3">
        <f t="shared" si="116"/>
        <v>0.19389906854279021</v>
      </c>
      <c r="V1089" s="5">
        <f t="shared" si="117"/>
        <v>0.36612020439547338</v>
      </c>
    </row>
    <row r="1090" spans="1:22" x14ac:dyDescent="0.3">
      <c r="A1090">
        <v>1314353</v>
      </c>
      <c r="B1090" s="1">
        <v>42969</v>
      </c>
      <c r="C1090" s="1">
        <v>42969</v>
      </c>
      <c r="D1090" s="6" t="s">
        <v>28</v>
      </c>
      <c r="E1090" s="6" t="s">
        <v>28</v>
      </c>
      <c r="F1090" s="8" t="s">
        <v>26</v>
      </c>
      <c r="G1090" s="8" t="s">
        <v>23</v>
      </c>
      <c r="H1090" s="8">
        <v>112</v>
      </c>
      <c r="I1090" s="8">
        <v>114</v>
      </c>
      <c r="J1090" s="8">
        <v>114</v>
      </c>
      <c r="K1090" s="8">
        <v>108426</v>
      </c>
      <c r="L1090" s="8">
        <v>13</v>
      </c>
      <c r="M1090" s="8">
        <v>19.580000160000001</v>
      </c>
      <c r="N1090" s="8">
        <v>1</v>
      </c>
      <c r="O1090" s="8">
        <v>0</v>
      </c>
      <c r="P1090" s="2">
        <f t="shared" ref="P1090:P1146" si="119">IF(K1090&gt;0, (L1090/K1090)*100, 0)</f>
        <v>1.1989744157305443E-2</v>
      </c>
      <c r="Q1090" s="3">
        <f t="shared" ref="Q1090:Q1146" si="120">IF(L1090&gt;0, M1090/L1090, 0)</f>
        <v>1.5061538584615386</v>
      </c>
      <c r="R1090" s="4">
        <f t="shared" si="118"/>
        <v>0</v>
      </c>
      <c r="S1090" s="3">
        <f t="shared" ref="S1090:S1146" si="121">IF(O1090&gt;0, M1090/O1090, 0)</f>
        <v>0</v>
      </c>
      <c r="T1090" s="4">
        <f t="shared" ref="T1090:T1146" si="122">IF(N1090&gt;0, O1090/N1090, 0)</f>
        <v>0</v>
      </c>
      <c r="U1090" s="3">
        <f t="shared" ref="U1090:U1146" si="123">IF(K1090&gt;0, (M1090/K1090)*1000, 0)</f>
        <v>0.1805839942449228</v>
      </c>
      <c r="V1090" s="5">
        <f t="shared" ref="V1090:V1146" si="124">IF(M1090&gt;0, ((O1090*50)-M1090)/M1090, 0)</f>
        <v>-1</v>
      </c>
    </row>
    <row r="1091" spans="1:22" x14ac:dyDescent="0.3">
      <c r="A1091">
        <v>1314354</v>
      </c>
      <c r="B1091" s="1">
        <v>42969</v>
      </c>
      <c r="C1091" s="1">
        <v>42969</v>
      </c>
      <c r="D1091" s="6" t="s">
        <v>28</v>
      </c>
      <c r="E1091" s="6" t="s">
        <v>28</v>
      </c>
      <c r="F1091" s="7" t="s">
        <v>26</v>
      </c>
      <c r="G1091" s="7" t="s">
        <v>23</v>
      </c>
      <c r="H1091" s="7">
        <v>113</v>
      </c>
      <c r="I1091" s="7">
        <v>116</v>
      </c>
      <c r="J1091" s="7">
        <v>116</v>
      </c>
      <c r="K1091" s="7">
        <v>138525</v>
      </c>
      <c r="L1091" s="7">
        <v>9</v>
      </c>
      <c r="M1091" s="7">
        <v>13.65000045</v>
      </c>
      <c r="N1091" s="7">
        <v>3</v>
      </c>
      <c r="O1091" s="7">
        <v>0</v>
      </c>
      <c r="P1091" s="2">
        <f t="shared" si="119"/>
        <v>6.4970221981591764E-3</v>
      </c>
      <c r="Q1091" s="3">
        <f t="shared" si="120"/>
        <v>1.5166667166666667</v>
      </c>
      <c r="R1091" s="4">
        <f t="shared" ref="R1091:R1146" si="125">IF(L1091&gt;0, O1091/L1091, 0)</f>
        <v>0</v>
      </c>
      <c r="S1091" s="3">
        <f t="shared" si="121"/>
        <v>0</v>
      </c>
      <c r="T1091" s="4">
        <f t="shared" si="122"/>
        <v>0</v>
      </c>
      <c r="U1091" s="3">
        <f t="shared" si="123"/>
        <v>9.8538173253925276E-2</v>
      </c>
      <c r="V1091" s="5">
        <f t="shared" si="124"/>
        <v>-1</v>
      </c>
    </row>
    <row r="1092" spans="1:22" x14ac:dyDescent="0.3">
      <c r="A1092">
        <v>1314355</v>
      </c>
      <c r="B1092" s="1">
        <v>42969</v>
      </c>
      <c r="C1092" s="1">
        <v>42969</v>
      </c>
      <c r="D1092" s="6" t="s">
        <v>28</v>
      </c>
      <c r="E1092" s="6" t="s">
        <v>28</v>
      </c>
      <c r="F1092" s="8" t="s">
        <v>26</v>
      </c>
      <c r="G1092" s="8" t="s">
        <v>23</v>
      </c>
      <c r="H1092" s="8">
        <v>114</v>
      </c>
      <c r="I1092" s="8">
        <v>117</v>
      </c>
      <c r="J1092" s="8">
        <v>118</v>
      </c>
      <c r="K1092" s="8">
        <v>150858</v>
      </c>
      <c r="L1092" s="8">
        <v>21</v>
      </c>
      <c r="M1092" s="8">
        <v>30.26000011</v>
      </c>
      <c r="N1092" s="8">
        <v>1</v>
      </c>
      <c r="O1092" s="8">
        <v>0</v>
      </c>
      <c r="P1092" s="2">
        <f t="shared" si="119"/>
        <v>1.3920375452412202E-2</v>
      </c>
      <c r="Q1092" s="3">
        <f t="shared" si="120"/>
        <v>1.4409523861904763</v>
      </c>
      <c r="R1092" s="4">
        <f t="shared" si="125"/>
        <v>0</v>
      </c>
      <c r="S1092" s="3">
        <f t="shared" si="121"/>
        <v>0</v>
      </c>
      <c r="T1092" s="4">
        <f t="shared" si="122"/>
        <v>0</v>
      </c>
      <c r="U1092" s="3">
        <f t="shared" si="123"/>
        <v>0.20058598224820692</v>
      </c>
      <c r="V1092" s="5">
        <f t="shared" si="124"/>
        <v>-1</v>
      </c>
    </row>
    <row r="1093" spans="1:22" x14ac:dyDescent="0.3">
      <c r="A1093">
        <v>1314357</v>
      </c>
      <c r="B1093" s="1">
        <v>42969</v>
      </c>
      <c r="C1093" s="1">
        <v>42969</v>
      </c>
      <c r="D1093" s="6" t="s">
        <v>28</v>
      </c>
      <c r="E1093" s="6" t="s">
        <v>28</v>
      </c>
      <c r="F1093" s="7" t="s">
        <v>22</v>
      </c>
      <c r="G1093" s="7" t="s">
        <v>27</v>
      </c>
      <c r="H1093" s="7">
        <v>101</v>
      </c>
      <c r="I1093" s="7">
        <v>102</v>
      </c>
      <c r="J1093" s="7">
        <v>102</v>
      </c>
      <c r="K1093" s="7">
        <v>524306</v>
      </c>
      <c r="L1093" s="7">
        <v>81</v>
      </c>
      <c r="M1093" s="7">
        <v>113.68000290000001</v>
      </c>
      <c r="N1093" s="7">
        <v>10</v>
      </c>
      <c r="O1093" s="7">
        <v>4</v>
      </c>
      <c r="P1093" s="2">
        <f t="shared" si="119"/>
        <v>1.5448993526680983E-2</v>
      </c>
      <c r="Q1093" s="3">
        <f t="shared" si="120"/>
        <v>1.4034568259259259</v>
      </c>
      <c r="R1093" s="4">
        <f t="shared" si="125"/>
        <v>4.9382716049382713E-2</v>
      </c>
      <c r="S1093" s="3">
        <f t="shared" si="121"/>
        <v>28.420000725000001</v>
      </c>
      <c r="T1093" s="4">
        <f t="shared" si="122"/>
        <v>0.4</v>
      </c>
      <c r="U1093" s="3">
        <f t="shared" si="123"/>
        <v>0.21681995418705871</v>
      </c>
      <c r="V1093" s="5">
        <f t="shared" si="124"/>
        <v>0.75932437454221768</v>
      </c>
    </row>
    <row r="1094" spans="1:22" x14ac:dyDescent="0.3">
      <c r="A1094">
        <v>1314358</v>
      </c>
      <c r="B1094" s="1">
        <v>42969</v>
      </c>
      <c r="C1094" s="1">
        <v>42969</v>
      </c>
      <c r="D1094" s="6" t="s">
        <v>28</v>
      </c>
      <c r="E1094" s="6" t="s">
        <v>28</v>
      </c>
      <c r="F1094" s="8" t="s">
        <v>22</v>
      </c>
      <c r="G1094" s="8" t="s">
        <v>27</v>
      </c>
      <c r="H1094" s="8">
        <v>102</v>
      </c>
      <c r="I1094" s="8">
        <v>103</v>
      </c>
      <c r="J1094" s="8">
        <v>103</v>
      </c>
      <c r="K1094" s="8">
        <v>104496</v>
      </c>
      <c r="L1094" s="8">
        <v>9</v>
      </c>
      <c r="M1094" s="8">
        <v>11.42999983</v>
      </c>
      <c r="N1094" s="8">
        <v>3</v>
      </c>
      <c r="O1094" s="8">
        <v>2</v>
      </c>
      <c r="P1094" s="2">
        <f t="shared" si="119"/>
        <v>8.6127698667891588E-3</v>
      </c>
      <c r="Q1094" s="3">
        <f t="shared" si="120"/>
        <v>1.2699999811111111</v>
      </c>
      <c r="R1094" s="4">
        <f t="shared" si="125"/>
        <v>0.22222222222222221</v>
      </c>
      <c r="S1094" s="3">
        <f t="shared" si="121"/>
        <v>5.7149999149999999</v>
      </c>
      <c r="T1094" s="4">
        <f t="shared" si="122"/>
        <v>0.66666666666666663</v>
      </c>
      <c r="U1094" s="3">
        <f t="shared" si="123"/>
        <v>0.1093821756813658</v>
      </c>
      <c r="V1094" s="5">
        <f t="shared" si="124"/>
        <v>7.7489065168253815</v>
      </c>
    </row>
    <row r="1095" spans="1:22" x14ac:dyDescent="0.3">
      <c r="A1095">
        <v>1314359</v>
      </c>
      <c r="B1095" s="1">
        <v>42969</v>
      </c>
      <c r="C1095" s="1">
        <v>42969</v>
      </c>
      <c r="D1095" s="6" t="s">
        <v>28</v>
      </c>
      <c r="E1095" s="6" t="s">
        <v>28</v>
      </c>
      <c r="F1095" s="7" t="s">
        <v>22</v>
      </c>
      <c r="G1095" s="7" t="s">
        <v>27</v>
      </c>
      <c r="H1095" s="7">
        <v>103</v>
      </c>
      <c r="I1095" s="7">
        <v>109</v>
      </c>
      <c r="J1095" s="7">
        <v>105</v>
      </c>
      <c r="K1095" s="7">
        <v>452519</v>
      </c>
      <c r="L1095" s="7">
        <v>68</v>
      </c>
      <c r="M1095" s="7">
        <v>99.52000237</v>
      </c>
      <c r="N1095" s="7">
        <v>7</v>
      </c>
      <c r="O1095" s="7">
        <v>2</v>
      </c>
      <c r="P1095" s="2">
        <f t="shared" si="119"/>
        <v>1.5026993341716036E-2</v>
      </c>
      <c r="Q1095" s="3">
        <f t="shared" si="120"/>
        <v>1.4635294466176472</v>
      </c>
      <c r="R1095" s="4">
        <f t="shared" si="125"/>
        <v>2.9411764705882353E-2</v>
      </c>
      <c r="S1095" s="3">
        <f t="shared" si="121"/>
        <v>49.760001185</v>
      </c>
      <c r="T1095" s="4">
        <f t="shared" si="122"/>
        <v>0.2857142857142857</v>
      </c>
      <c r="U1095" s="3">
        <f t="shared" si="123"/>
        <v>0.21992447249728742</v>
      </c>
      <c r="V1095" s="5">
        <f t="shared" si="124"/>
        <v>4.8231271962338052E-3</v>
      </c>
    </row>
    <row r="1096" spans="1:22" x14ac:dyDescent="0.3">
      <c r="A1096">
        <v>1314360</v>
      </c>
      <c r="B1096" s="1">
        <v>42969</v>
      </c>
      <c r="C1096" s="1">
        <v>42969</v>
      </c>
      <c r="D1096" s="6" t="s">
        <v>28</v>
      </c>
      <c r="E1096" s="6" t="s">
        <v>28</v>
      </c>
      <c r="F1096" s="8" t="s">
        <v>22</v>
      </c>
      <c r="G1096" s="8" t="s">
        <v>27</v>
      </c>
      <c r="H1096" s="8">
        <v>104</v>
      </c>
      <c r="I1096" s="8">
        <v>105</v>
      </c>
      <c r="J1096" s="8">
        <v>108</v>
      </c>
      <c r="K1096" s="8">
        <v>442919</v>
      </c>
      <c r="L1096" s="8">
        <v>76</v>
      </c>
      <c r="M1096" s="8">
        <v>110.7800021</v>
      </c>
      <c r="N1096" s="8">
        <v>21</v>
      </c>
      <c r="O1096" s="8">
        <v>2</v>
      </c>
      <c r="P1096" s="2">
        <f t="shared" si="119"/>
        <v>1.7158893612601853E-2</v>
      </c>
      <c r="Q1096" s="3">
        <f t="shared" si="120"/>
        <v>1.4576316065789474</v>
      </c>
      <c r="R1096" s="4">
        <f t="shared" si="125"/>
        <v>2.6315789473684209E-2</v>
      </c>
      <c r="S1096" s="3">
        <f t="shared" si="121"/>
        <v>55.390001050000002</v>
      </c>
      <c r="T1096" s="4">
        <f t="shared" si="122"/>
        <v>9.5238095238095233E-2</v>
      </c>
      <c r="U1096" s="3">
        <f t="shared" si="123"/>
        <v>0.25011345663654078</v>
      </c>
      <c r="V1096" s="5">
        <f t="shared" si="124"/>
        <v>-9.7310000863413987E-2</v>
      </c>
    </row>
    <row r="1097" spans="1:22" x14ac:dyDescent="0.3">
      <c r="A1097">
        <v>1314361</v>
      </c>
      <c r="B1097" s="1">
        <v>42969</v>
      </c>
      <c r="C1097" s="1">
        <v>42969</v>
      </c>
      <c r="D1097" s="6" t="s">
        <v>28</v>
      </c>
      <c r="E1097" s="6" t="s">
        <v>28</v>
      </c>
      <c r="F1097" s="7" t="s">
        <v>22</v>
      </c>
      <c r="G1097" s="7" t="s">
        <v>27</v>
      </c>
      <c r="H1097" s="7">
        <v>105</v>
      </c>
      <c r="I1097" s="7">
        <v>111</v>
      </c>
      <c r="J1097" s="7">
        <v>107</v>
      </c>
      <c r="K1097" s="7">
        <v>596831</v>
      </c>
      <c r="L1097" s="7">
        <v>86</v>
      </c>
      <c r="M1097" s="7">
        <v>120.8799992</v>
      </c>
      <c r="N1097" s="7">
        <v>11</v>
      </c>
      <c r="O1097" s="7">
        <v>0</v>
      </c>
      <c r="P1097" s="2">
        <f t="shared" si="119"/>
        <v>1.4409439187977834E-2</v>
      </c>
      <c r="Q1097" s="3">
        <f t="shared" si="120"/>
        <v>1.4055813860465116</v>
      </c>
      <c r="R1097" s="4">
        <f t="shared" si="125"/>
        <v>0</v>
      </c>
      <c r="S1097" s="3">
        <f t="shared" si="121"/>
        <v>0</v>
      </c>
      <c r="T1097" s="4">
        <f t="shared" si="122"/>
        <v>0</v>
      </c>
      <c r="U1097" s="3">
        <f t="shared" si="123"/>
        <v>0.20253639505990809</v>
      </c>
      <c r="V1097" s="5">
        <f t="shared" si="124"/>
        <v>-1</v>
      </c>
    </row>
    <row r="1098" spans="1:22" x14ac:dyDescent="0.3">
      <c r="A1098">
        <v>1314362</v>
      </c>
      <c r="B1098" s="1">
        <v>42969</v>
      </c>
      <c r="C1098" s="1">
        <v>42969</v>
      </c>
      <c r="D1098" s="6" t="s">
        <v>28</v>
      </c>
      <c r="E1098" s="6" t="s">
        <v>28</v>
      </c>
      <c r="F1098" s="8" t="s">
        <v>22</v>
      </c>
      <c r="G1098" s="8" t="s">
        <v>27</v>
      </c>
      <c r="H1098" s="8">
        <v>106</v>
      </c>
      <c r="I1098" s="8">
        <v>109</v>
      </c>
      <c r="J1098" s="8">
        <v>108</v>
      </c>
      <c r="K1098" s="8">
        <v>173912</v>
      </c>
      <c r="L1098" s="8">
        <v>26</v>
      </c>
      <c r="M1098" s="8">
        <v>35.540000319999997</v>
      </c>
      <c r="N1098" s="8">
        <v>2</v>
      </c>
      <c r="O1098" s="8">
        <v>1</v>
      </c>
      <c r="P1098" s="2">
        <f t="shared" si="119"/>
        <v>1.4950089700538204E-2</v>
      </c>
      <c r="Q1098" s="3">
        <f t="shared" si="120"/>
        <v>1.3669230892307691</v>
      </c>
      <c r="R1098" s="4">
        <f t="shared" si="125"/>
        <v>3.8461538461538464E-2</v>
      </c>
      <c r="S1098" s="3">
        <f t="shared" si="121"/>
        <v>35.540000319999997</v>
      </c>
      <c r="T1098" s="4">
        <f t="shared" si="122"/>
        <v>0.5</v>
      </c>
      <c r="U1098" s="3">
        <f t="shared" si="123"/>
        <v>0.20435622797736785</v>
      </c>
      <c r="V1098" s="5">
        <f t="shared" si="124"/>
        <v>0.40686549099051905</v>
      </c>
    </row>
    <row r="1099" spans="1:22" x14ac:dyDescent="0.3">
      <c r="A1099">
        <v>1314363</v>
      </c>
      <c r="B1099" s="1">
        <v>42969</v>
      </c>
      <c r="C1099" s="1">
        <v>42969</v>
      </c>
      <c r="D1099" s="6" t="s">
        <v>28</v>
      </c>
      <c r="E1099" s="6" t="s">
        <v>28</v>
      </c>
      <c r="F1099" s="7" t="s">
        <v>22</v>
      </c>
      <c r="G1099" s="7" t="s">
        <v>27</v>
      </c>
      <c r="H1099" s="7">
        <v>107</v>
      </c>
      <c r="I1099" s="7">
        <v>109</v>
      </c>
      <c r="J1099" s="7">
        <v>113</v>
      </c>
      <c r="K1099" s="7">
        <v>780967</v>
      </c>
      <c r="L1099" s="7">
        <v>86</v>
      </c>
      <c r="M1099" s="7">
        <v>119.64000179999999</v>
      </c>
      <c r="N1099" s="7">
        <v>20</v>
      </c>
      <c r="O1099" s="7">
        <v>4</v>
      </c>
      <c r="P1099" s="2">
        <f t="shared" si="119"/>
        <v>1.1011988982889163E-2</v>
      </c>
      <c r="Q1099" s="3">
        <f t="shared" si="120"/>
        <v>1.3911628116279069</v>
      </c>
      <c r="R1099" s="4">
        <f t="shared" si="125"/>
        <v>4.6511627906976744E-2</v>
      </c>
      <c r="S1099" s="3">
        <f t="shared" si="121"/>
        <v>29.910000449999998</v>
      </c>
      <c r="T1099" s="4">
        <f t="shared" si="122"/>
        <v>0.2</v>
      </c>
      <c r="U1099" s="3">
        <f t="shared" si="123"/>
        <v>0.15319469555051621</v>
      </c>
      <c r="V1099" s="5">
        <f t="shared" si="124"/>
        <v>0.6716816866513956</v>
      </c>
    </row>
    <row r="1100" spans="1:22" x14ac:dyDescent="0.3">
      <c r="A1100">
        <v>1314364</v>
      </c>
      <c r="B1100" s="1">
        <v>42969</v>
      </c>
      <c r="C1100" s="1">
        <v>42969</v>
      </c>
      <c r="D1100" s="6" t="s">
        <v>28</v>
      </c>
      <c r="E1100" s="6" t="s">
        <v>28</v>
      </c>
      <c r="F1100" s="8" t="s">
        <v>22</v>
      </c>
      <c r="G1100" s="8" t="s">
        <v>27</v>
      </c>
      <c r="H1100" s="8">
        <v>108</v>
      </c>
      <c r="I1100" s="8">
        <v>111</v>
      </c>
      <c r="J1100" s="8">
        <v>111</v>
      </c>
      <c r="K1100" s="8">
        <v>132124</v>
      </c>
      <c r="L1100" s="8">
        <v>8</v>
      </c>
      <c r="M1100" s="8">
        <v>11.18999994</v>
      </c>
      <c r="N1100" s="8">
        <v>4</v>
      </c>
      <c r="O1100" s="8">
        <v>0</v>
      </c>
      <c r="P1100" s="2">
        <f t="shared" si="119"/>
        <v>6.0549181072325998E-3</v>
      </c>
      <c r="Q1100" s="3">
        <f t="shared" si="120"/>
        <v>1.3987499925</v>
      </c>
      <c r="R1100" s="4">
        <f t="shared" si="125"/>
        <v>0</v>
      </c>
      <c r="S1100" s="3">
        <f t="shared" si="121"/>
        <v>0</v>
      </c>
      <c r="T1100" s="4">
        <f t="shared" si="122"/>
        <v>0</v>
      </c>
      <c r="U1100" s="3">
        <f t="shared" si="123"/>
        <v>8.4693166570797118E-2</v>
      </c>
      <c r="V1100" s="5">
        <f t="shared" si="124"/>
        <v>-1</v>
      </c>
    </row>
    <row r="1101" spans="1:22" x14ac:dyDescent="0.3">
      <c r="A1101">
        <v>1314365</v>
      </c>
      <c r="B1101" s="1">
        <v>42974</v>
      </c>
      <c r="C1101" s="1">
        <v>42974</v>
      </c>
      <c r="D1101" s="6" t="s">
        <v>28</v>
      </c>
      <c r="E1101" s="6" t="s">
        <v>28</v>
      </c>
      <c r="F1101" s="7" t="s">
        <v>22</v>
      </c>
      <c r="G1101" s="7" t="s">
        <v>27</v>
      </c>
      <c r="H1101" s="7">
        <v>109</v>
      </c>
      <c r="I1101" s="7">
        <v>110</v>
      </c>
      <c r="J1101" s="7">
        <v>112</v>
      </c>
      <c r="K1101" s="7">
        <v>623137</v>
      </c>
      <c r="L1101" s="7">
        <v>100</v>
      </c>
      <c r="M1101" s="7">
        <v>138.92000060000001</v>
      </c>
      <c r="N1101" s="7">
        <v>12</v>
      </c>
      <c r="O1101" s="7">
        <v>1</v>
      </c>
      <c r="P1101" s="2">
        <f t="shared" si="119"/>
        <v>1.6047835387723728E-2</v>
      </c>
      <c r="Q1101" s="3">
        <f t="shared" si="120"/>
        <v>1.389200006</v>
      </c>
      <c r="R1101" s="4">
        <f t="shared" si="125"/>
        <v>0.01</v>
      </c>
      <c r="S1101" s="3">
        <f t="shared" si="121"/>
        <v>138.92000060000001</v>
      </c>
      <c r="T1101" s="4">
        <f t="shared" si="122"/>
        <v>8.3333333333333329E-2</v>
      </c>
      <c r="U1101" s="3">
        <f t="shared" si="123"/>
        <v>0.22293653016912815</v>
      </c>
      <c r="V1101" s="5">
        <f t="shared" si="124"/>
        <v>-0.64008062349518879</v>
      </c>
    </row>
    <row r="1102" spans="1:22" x14ac:dyDescent="0.3">
      <c r="A1102">
        <v>1314366</v>
      </c>
      <c r="B1102" s="1">
        <v>42974</v>
      </c>
      <c r="C1102" s="1">
        <v>42974</v>
      </c>
      <c r="D1102" s="6" t="s">
        <v>28</v>
      </c>
      <c r="E1102" s="6" t="s">
        <v>28</v>
      </c>
      <c r="F1102" s="8" t="s">
        <v>22</v>
      </c>
      <c r="G1102" s="8" t="s">
        <v>27</v>
      </c>
      <c r="H1102" s="8">
        <v>110</v>
      </c>
      <c r="I1102" s="8">
        <v>114</v>
      </c>
      <c r="J1102" s="8">
        <v>111</v>
      </c>
      <c r="K1102" s="8">
        <v>99020</v>
      </c>
      <c r="L1102" s="8">
        <v>10</v>
      </c>
      <c r="M1102" s="8">
        <v>14.48000044</v>
      </c>
      <c r="N1102" s="8">
        <v>4</v>
      </c>
      <c r="O1102" s="8">
        <v>1</v>
      </c>
      <c r="P1102" s="2">
        <f t="shared" si="119"/>
        <v>1.0098969905069682E-2</v>
      </c>
      <c r="Q1102" s="3">
        <f t="shared" si="120"/>
        <v>1.448000044</v>
      </c>
      <c r="R1102" s="4">
        <f t="shared" si="125"/>
        <v>0.1</v>
      </c>
      <c r="S1102" s="3">
        <f t="shared" si="121"/>
        <v>14.48000044</v>
      </c>
      <c r="T1102" s="4">
        <f t="shared" si="122"/>
        <v>0.25</v>
      </c>
      <c r="U1102" s="3">
        <f t="shared" si="123"/>
        <v>0.14623308866895576</v>
      </c>
      <c r="V1102" s="5">
        <f t="shared" si="124"/>
        <v>2.453038569106563</v>
      </c>
    </row>
    <row r="1103" spans="1:22" x14ac:dyDescent="0.3">
      <c r="A1103">
        <v>1314367</v>
      </c>
      <c r="B1103" s="1">
        <v>42965</v>
      </c>
      <c r="C1103" s="1">
        <v>42965</v>
      </c>
      <c r="D1103" s="6" t="s">
        <v>28</v>
      </c>
      <c r="E1103" s="6" t="s">
        <v>28</v>
      </c>
      <c r="F1103" s="7" t="s">
        <v>22</v>
      </c>
      <c r="G1103" s="7" t="s">
        <v>27</v>
      </c>
      <c r="H1103" s="7">
        <v>111</v>
      </c>
      <c r="I1103" s="7">
        <v>113</v>
      </c>
      <c r="J1103" s="7">
        <v>114</v>
      </c>
      <c r="K1103" s="7">
        <v>665817</v>
      </c>
      <c r="L1103" s="7">
        <v>117</v>
      </c>
      <c r="M1103" s="7">
        <v>163.8000002</v>
      </c>
      <c r="N1103" s="7">
        <v>23</v>
      </c>
      <c r="O1103" s="7">
        <v>9</v>
      </c>
      <c r="P1103" s="2">
        <f t="shared" si="119"/>
        <v>1.7572396018725865E-2</v>
      </c>
      <c r="Q1103" s="3">
        <f t="shared" si="120"/>
        <v>1.4000000017094016</v>
      </c>
      <c r="R1103" s="4">
        <f t="shared" si="125"/>
        <v>7.6923076923076927E-2</v>
      </c>
      <c r="S1103" s="3">
        <f t="shared" si="121"/>
        <v>18.200000022222223</v>
      </c>
      <c r="T1103" s="4">
        <f t="shared" si="122"/>
        <v>0.39130434782608697</v>
      </c>
      <c r="U1103" s="3">
        <f t="shared" si="123"/>
        <v>0.24601354456254496</v>
      </c>
      <c r="V1103" s="5">
        <f t="shared" si="124"/>
        <v>1.7472527438983483</v>
      </c>
    </row>
    <row r="1104" spans="1:22" x14ac:dyDescent="0.3">
      <c r="A1104">
        <v>1314368</v>
      </c>
      <c r="B1104" s="1">
        <v>42965</v>
      </c>
      <c r="C1104" s="1">
        <v>42965</v>
      </c>
      <c r="D1104" s="6" t="s">
        <v>28</v>
      </c>
      <c r="E1104" s="6" t="s">
        <v>28</v>
      </c>
      <c r="F1104" s="8" t="s">
        <v>22</v>
      </c>
      <c r="G1104" s="8" t="s">
        <v>27</v>
      </c>
      <c r="H1104" s="8">
        <v>112</v>
      </c>
      <c r="I1104" s="8">
        <v>114</v>
      </c>
      <c r="J1104" s="8">
        <v>113</v>
      </c>
      <c r="K1104" s="8">
        <v>699232</v>
      </c>
      <c r="L1104" s="8">
        <v>80</v>
      </c>
      <c r="M1104" s="8">
        <v>111.9899995</v>
      </c>
      <c r="N1104" s="8">
        <v>12</v>
      </c>
      <c r="O1104" s="8">
        <v>3</v>
      </c>
      <c r="P1104" s="2">
        <f t="shared" si="119"/>
        <v>1.1441123976019403E-2</v>
      </c>
      <c r="Q1104" s="3">
        <f t="shared" si="120"/>
        <v>1.3998749937499999</v>
      </c>
      <c r="R1104" s="4">
        <f t="shared" si="125"/>
        <v>3.7499999999999999E-2</v>
      </c>
      <c r="S1104" s="3">
        <f t="shared" si="121"/>
        <v>37.329999833333332</v>
      </c>
      <c r="T1104" s="4">
        <f t="shared" si="122"/>
        <v>0.25</v>
      </c>
      <c r="U1104" s="3">
        <f t="shared" si="123"/>
        <v>0.16016143354423137</v>
      </c>
      <c r="V1104" s="5">
        <f t="shared" si="124"/>
        <v>0.339405310025026</v>
      </c>
    </row>
    <row r="1105" spans="1:22" x14ac:dyDescent="0.3">
      <c r="A1105">
        <v>1314371</v>
      </c>
      <c r="B1105" s="1">
        <v>42965</v>
      </c>
      <c r="C1105" s="1">
        <v>42965</v>
      </c>
      <c r="D1105" s="6" t="s">
        <v>28</v>
      </c>
      <c r="E1105" s="6" t="s">
        <v>28</v>
      </c>
      <c r="F1105" s="7" t="s">
        <v>24</v>
      </c>
      <c r="G1105" s="7" t="s">
        <v>27</v>
      </c>
      <c r="H1105" s="7">
        <v>100</v>
      </c>
      <c r="I1105" s="7">
        <v>103</v>
      </c>
      <c r="J1105" s="7">
        <v>102</v>
      </c>
      <c r="K1105" s="7">
        <v>72982</v>
      </c>
      <c r="L1105" s="7">
        <v>11</v>
      </c>
      <c r="M1105" s="7">
        <v>15.04999995</v>
      </c>
      <c r="N1105" s="7">
        <v>1</v>
      </c>
      <c r="O1105" s="7">
        <v>0</v>
      </c>
      <c r="P1105" s="2">
        <f t="shared" si="119"/>
        <v>1.5072209585925296E-2</v>
      </c>
      <c r="Q1105" s="3">
        <f t="shared" si="120"/>
        <v>1.3681818136363637</v>
      </c>
      <c r="R1105" s="4">
        <f t="shared" si="125"/>
        <v>0</v>
      </c>
      <c r="S1105" s="3">
        <f t="shared" si="121"/>
        <v>0</v>
      </c>
      <c r="T1105" s="4">
        <f t="shared" si="122"/>
        <v>0</v>
      </c>
      <c r="U1105" s="3">
        <f t="shared" si="123"/>
        <v>0.20621523046778659</v>
      </c>
      <c r="V1105" s="5">
        <f t="shared" si="124"/>
        <v>-1</v>
      </c>
    </row>
    <row r="1106" spans="1:22" x14ac:dyDescent="0.3">
      <c r="A1106">
        <v>1314372</v>
      </c>
      <c r="B1106" s="1">
        <v>42965</v>
      </c>
      <c r="C1106" s="1">
        <v>42965</v>
      </c>
      <c r="D1106" s="6" t="s">
        <v>28</v>
      </c>
      <c r="E1106" s="6" t="s">
        <v>28</v>
      </c>
      <c r="F1106" s="8" t="s">
        <v>24</v>
      </c>
      <c r="G1106" s="8" t="s">
        <v>27</v>
      </c>
      <c r="H1106" s="8">
        <v>101</v>
      </c>
      <c r="I1106" s="8">
        <v>107</v>
      </c>
      <c r="J1106" s="8">
        <v>104</v>
      </c>
      <c r="K1106" s="8">
        <v>975884</v>
      </c>
      <c r="L1106" s="8">
        <v>167</v>
      </c>
      <c r="M1106" s="8">
        <v>237.3199975</v>
      </c>
      <c r="N1106" s="8">
        <v>14</v>
      </c>
      <c r="O1106" s="8">
        <v>3</v>
      </c>
      <c r="P1106" s="2">
        <f t="shared" si="119"/>
        <v>1.711268962294699E-2</v>
      </c>
      <c r="Q1106" s="3">
        <f t="shared" si="120"/>
        <v>1.4210778293413173</v>
      </c>
      <c r="R1106" s="4">
        <f t="shared" si="125"/>
        <v>1.7964071856287425E-2</v>
      </c>
      <c r="S1106" s="3">
        <f t="shared" si="121"/>
        <v>79.106665833333338</v>
      </c>
      <c r="T1106" s="4">
        <f t="shared" si="122"/>
        <v>0.21428571428571427</v>
      </c>
      <c r="U1106" s="3">
        <f t="shared" si="123"/>
        <v>0.24318463823569195</v>
      </c>
      <c r="V1106" s="5">
        <f t="shared" si="124"/>
        <v>-0.36794201255627434</v>
      </c>
    </row>
    <row r="1107" spans="1:22" x14ac:dyDescent="0.3">
      <c r="A1107">
        <v>1314373</v>
      </c>
      <c r="B1107" s="1">
        <v>42965</v>
      </c>
      <c r="C1107" s="1">
        <v>42965</v>
      </c>
      <c r="D1107" s="6" t="s">
        <v>28</v>
      </c>
      <c r="E1107" s="6" t="s">
        <v>28</v>
      </c>
      <c r="F1107" s="7" t="s">
        <v>24</v>
      </c>
      <c r="G1107" s="7" t="s">
        <v>27</v>
      </c>
      <c r="H1107" s="7">
        <v>102</v>
      </c>
      <c r="I1107" s="7">
        <v>106</v>
      </c>
      <c r="J1107" s="7">
        <v>103</v>
      </c>
      <c r="K1107" s="7">
        <v>245607</v>
      </c>
      <c r="L1107" s="7">
        <v>33</v>
      </c>
      <c r="M1107" s="7">
        <v>47.879999519999998</v>
      </c>
      <c r="N1107" s="7">
        <v>3</v>
      </c>
      <c r="O1107" s="7">
        <v>1</v>
      </c>
      <c r="P1107" s="2">
        <f t="shared" si="119"/>
        <v>1.3436099133982339E-2</v>
      </c>
      <c r="Q1107" s="3">
        <f t="shared" si="120"/>
        <v>1.4509090763636363</v>
      </c>
      <c r="R1107" s="4">
        <f t="shared" si="125"/>
        <v>3.0303030303030304E-2</v>
      </c>
      <c r="S1107" s="3">
        <f t="shared" si="121"/>
        <v>47.879999519999998</v>
      </c>
      <c r="T1107" s="4">
        <f t="shared" si="122"/>
        <v>0.33333333333333331</v>
      </c>
      <c r="U1107" s="3">
        <f t="shared" si="123"/>
        <v>0.19494558184416566</v>
      </c>
      <c r="V1107" s="5">
        <f t="shared" si="124"/>
        <v>4.4277370535779854E-2</v>
      </c>
    </row>
    <row r="1108" spans="1:22" x14ac:dyDescent="0.3">
      <c r="A1108">
        <v>1314377</v>
      </c>
      <c r="B1108" s="1">
        <v>42965</v>
      </c>
      <c r="C1108" s="1">
        <v>42965</v>
      </c>
      <c r="D1108" s="6" t="s">
        <v>28</v>
      </c>
      <c r="E1108" s="6" t="s">
        <v>28</v>
      </c>
      <c r="F1108" s="8" t="s">
        <v>24</v>
      </c>
      <c r="G1108" s="8" t="s">
        <v>27</v>
      </c>
      <c r="H1108" s="8">
        <v>106</v>
      </c>
      <c r="I1108" s="8">
        <v>111</v>
      </c>
      <c r="J1108" s="8">
        <v>109</v>
      </c>
      <c r="K1108" s="8">
        <v>485369</v>
      </c>
      <c r="L1108" s="8">
        <v>114</v>
      </c>
      <c r="M1108" s="8">
        <v>164.64000150000001</v>
      </c>
      <c r="N1108" s="8">
        <v>3</v>
      </c>
      <c r="O1108" s="8">
        <v>0</v>
      </c>
      <c r="P1108" s="2">
        <f t="shared" si="119"/>
        <v>2.3487284931670543E-2</v>
      </c>
      <c r="Q1108" s="3">
        <f t="shared" si="120"/>
        <v>1.4442105394736844</v>
      </c>
      <c r="R1108" s="4">
        <f t="shared" si="125"/>
        <v>0</v>
      </c>
      <c r="S1108" s="3">
        <f t="shared" si="121"/>
        <v>0</v>
      </c>
      <c r="T1108" s="4">
        <f t="shared" si="122"/>
        <v>0</v>
      </c>
      <c r="U1108" s="3">
        <f t="shared" si="123"/>
        <v>0.33920584441940055</v>
      </c>
      <c r="V1108" s="5">
        <f t="shared" si="124"/>
        <v>-1</v>
      </c>
    </row>
    <row r="1109" spans="1:22" x14ac:dyDescent="0.3">
      <c r="A1109">
        <v>1314378</v>
      </c>
      <c r="B1109" s="1">
        <v>42965</v>
      </c>
      <c r="C1109" s="1">
        <v>42965</v>
      </c>
      <c r="D1109" s="6" t="s">
        <v>28</v>
      </c>
      <c r="E1109" s="6" t="s">
        <v>28</v>
      </c>
      <c r="F1109" s="7" t="s">
        <v>24</v>
      </c>
      <c r="G1109" s="7" t="s">
        <v>27</v>
      </c>
      <c r="H1109" s="7">
        <v>107</v>
      </c>
      <c r="I1109" s="7">
        <v>111</v>
      </c>
      <c r="J1109" s="7">
        <v>112</v>
      </c>
      <c r="K1109" s="7">
        <v>866355</v>
      </c>
      <c r="L1109" s="7">
        <v>139</v>
      </c>
      <c r="M1109" s="7">
        <v>200.82999609999999</v>
      </c>
      <c r="N1109" s="7">
        <v>11</v>
      </c>
      <c r="O1109" s="7">
        <v>5</v>
      </c>
      <c r="P1109" s="2">
        <f t="shared" si="119"/>
        <v>1.6044231290868065E-2</v>
      </c>
      <c r="Q1109" s="3">
        <f t="shared" si="120"/>
        <v>1.4448201158273379</v>
      </c>
      <c r="R1109" s="4">
        <f t="shared" si="125"/>
        <v>3.5971223021582732E-2</v>
      </c>
      <c r="S1109" s="3">
        <f t="shared" si="121"/>
        <v>40.165999219999996</v>
      </c>
      <c r="T1109" s="4">
        <f t="shared" si="122"/>
        <v>0.45454545454545453</v>
      </c>
      <c r="U1109" s="3">
        <f t="shared" si="123"/>
        <v>0.23181028112032595</v>
      </c>
      <c r="V1109" s="5">
        <f t="shared" si="124"/>
        <v>0.24483396332645757</v>
      </c>
    </row>
    <row r="1110" spans="1:22" x14ac:dyDescent="0.3">
      <c r="A1110">
        <v>1314379</v>
      </c>
      <c r="B1110" s="1">
        <v>42965</v>
      </c>
      <c r="C1110" s="1">
        <v>42965</v>
      </c>
      <c r="D1110" s="6" t="s">
        <v>28</v>
      </c>
      <c r="E1110" s="6" t="s">
        <v>28</v>
      </c>
      <c r="F1110" s="8" t="s">
        <v>24</v>
      </c>
      <c r="G1110" s="8" t="s">
        <v>27</v>
      </c>
      <c r="H1110" s="8">
        <v>108</v>
      </c>
      <c r="I1110" s="8">
        <v>110</v>
      </c>
      <c r="J1110" s="8">
        <v>110</v>
      </c>
      <c r="K1110" s="8">
        <v>502710</v>
      </c>
      <c r="L1110" s="8">
        <v>72</v>
      </c>
      <c r="M1110" s="8">
        <v>105.2199969</v>
      </c>
      <c r="N1110" s="8">
        <v>8</v>
      </c>
      <c r="O1110" s="8">
        <v>2</v>
      </c>
      <c r="P1110" s="2">
        <f t="shared" si="119"/>
        <v>1.4322372739750552E-2</v>
      </c>
      <c r="Q1110" s="3">
        <f t="shared" si="120"/>
        <v>1.4613888458333333</v>
      </c>
      <c r="R1110" s="4">
        <f t="shared" si="125"/>
        <v>2.7777777777777776E-2</v>
      </c>
      <c r="S1110" s="3">
        <f t="shared" si="121"/>
        <v>52.609998449999999</v>
      </c>
      <c r="T1110" s="4">
        <f t="shared" si="122"/>
        <v>0.25</v>
      </c>
      <c r="U1110" s="3">
        <f t="shared" si="123"/>
        <v>0.20930555767738857</v>
      </c>
      <c r="V1110" s="5">
        <f t="shared" si="124"/>
        <v>-4.9610312239041686E-2</v>
      </c>
    </row>
    <row r="1111" spans="1:22" x14ac:dyDescent="0.3">
      <c r="A1111">
        <v>1314380</v>
      </c>
      <c r="B1111" s="1">
        <v>42965</v>
      </c>
      <c r="C1111" s="1">
        <v>42965</v>
      </c>
      <c r="D1111" s="6" t="s">
        <v>28</v>
      </c>
      <c r="E1111" s="6" t="s">
        <v>28</v>
      </c>
      <c r="F1111" s="7" t="s">
        <v>24</v>
      </c>
      <c r="G1111" s="7" t="s">
        <v>27</v>
      </c>
      <c r="H1111" s="7">
        <v>109</v>
      </c>
      <c r="I1111" s="7">
        <v>114</v>
      </c>
      <c r="J1111" s="7">
        <v>111</v>
      </c>
      <c r="K1111" s="7">
        <v>475184</v>
      </c>
      <c r="L1111" s="7">
        <v>88</v>
      </c>
      <c r="M1111" s="7">
        <v>127.3200028</v>
      </c>
      <c r="N1111" s="7">
        <v>4</v>
      </c>
      <c r="O1111" s="7">
        <v>1</v>
      </c>
      <c r="P1111" s="2">
        <f t="shared" si="119"/>
        <v>1.8519142058655173E-2</v>
      </c>
      <c r="Q1111" s="3">
        <f t="shared" si="120"/>
        <v>1.4468182136363636</v>
      </c>
      <c r="R1111" s="4">
        <f t="shared" si="125"/>
        <v>1.1363636363636364E-2</v>
      </c>
      <c r="S1111" s="3">
        <f t="shared" si="121"/>
        <v>127.3200028</v>
      </c>
      <c r="T1111" s="4">
        <f t="shared" si="122"/>
        <v>0.25</v>
      </c>
      <c r="U1111" s="3">
        <f t="shared" si="123"/>
        <v>0.26793832031381526</v>
      </c>
      <c r="V1111" s="5">
        <f t="shared" si="124"/>
        <v>-0.60728872996851679</v>
      </c>
    </row>
    <row r="1112" spans="1:22" x14ac:dyDescent="0.3">
      <c r="A1112">
        <v>1314381</v>
      </c>
      <c r="B1112" s="1">
        <v>42964</v>
      </c>
      <c r="C1112" s="1">
        <v>42964</v>
      </c>
      <c r="D1112" s="6" t="s">
        <v>28</v>
      </c>
      <c r="E1112" s="6" t="s">
        <v>28</v>
      </c>
      <c r="F1112" s="8" t="s">
        <v>24</v>
      </c>
      <c r="G1112" s="8" t="s">
        <v>27</v>
      </c>
      <c r="H1112" s="8">
        <v>110</v>
      </c>
      <c r="I1112" s="8">
        <v>111</v>
      </c>
      <c r="J1112" s="8">
        <v>111</v>
      </c>
      <c r="K1112" s="8">
        <v>357401</v>
      </c>
      <c r="L1112" s="8">
        <v>47</v>
      </c>
      <c r="M1112" s="8">
        <v>68.670000079999994</v>
      </c>
      <c r="N1112" s="8">
        <v>8</v>
      </c>
      <c r="O1112" s="8">
        <v>1</v>
      </c>
      <c r="P1112" s="2">
        <f t="shared" si="119"/>
        <v>1.315049482234241E-2</v>
      </c>
      <c r="Q1112" s="3">
        <f t="shared" si="120"/>
        <v>1.4610638314893616</v>
      </c>
      <c r="R1112" s="4">
        <f t="shared" si="125"/>
        <v>2.1276595744680851E-2</v>
      </c>
      <c r="S1112" s="3">
        <f t="shared" si="121"/>
        <v>68.670000079999994</v>
      </c>
      <c r="T1112" s="4">
        <f t="shared" si="122"/>
        <v>0.125</v>
      </c>
      <c r="U1112" s="3">
        <f t="shared" si="123"/>
        <v>0.19213712351112616</v>
      </c>
      <c r="V1112" s="5">
        <f t="shared" si="124"/>
        <v>-0.27188000667321383</v>
      </c>
    </row>
    <row r="1113" spans="1:22" x14ac:dyDescent="0.3">
      <c r="A1113">
        <v>1314382</v>
      </c>
      <c r="B1113" s="1">
        <v>42964</v>
      </c>
      <c r="C1113" s="1">
        <v>42964</v>
      </c>
      <c r="D1113" s="6" t="s">
        <v>28</v>
      </c>
      <c r="E1113" s="6" t="s">
        <v>28</v>
      </c>
      <c r="F1113" s="7" t="s">
        <v>24</v>
      </c>
      <c r="G1113" s="7" t="s">
        <v>27</v>
      </c>
      <c r="H1113" s="7">
        <v>111</v>
      </c>
      <c r="I1113" s="7">
        <v>114</v>
      </c>
      <c r="J1113" s="7">
        <v>112</v>
      </c>
      <c r="K1113" s="7">
        <v>99810</v>
      </c>
      <c r="L1113" s="7">
        <v>14</v>
      </c>
      <c r="M1113" s="7">
        <v>20.050000189999999</v>
      </c>
      <c r="N1113" s="7">
        <v>2</v>
      </c>
      <c r="O1113" s="7">
        <v>0</v>
      </c>
      <c r="P1113" s="2">
        <f t="shared" si="119"/>
        <v>1.4026650636208797E-2</v>
      </c>
      <c r="Q1113" s="3">
        <f t="shared" si="120"/>
        <v>1.4321428707142856</v>
      </c>
      <c r="R1113" s="4">
        <f t="shared" si="125"/>
        <v>0</v>
      </c>
      <c r="S1113" s="3">
        <f t="shared" si="121"/>
        <v>0</v>
      </c>
      <c r="T1113" s="4">
        <f t="shared" si="122"/>
        <v>0</v>
      </c>
      <c r="U1113" s="3">
        <f t="shared" si="123"/>
        <v>0.20088167708646426</v>
      </c>
      <c r="V1113" s="5">
        <f t="shared" si="124"/>
        <v>-1</v>
      </c>
    </row>
    <row r="1114" spans="1:22" x14ac:dyDescent="0.3">
      <c r="A1114">
        <v>1314383</v>
      </c>
      <c r="B1114" s="1">
        <v>42964</v>
      </c>
      <c r="C1114" s="1">
        <v>42964</v>
      </c>
      <c r="D1114" s="6" t="s">
        <v>28</v>
      </c>
      <c r="E1114" s="6" t="s">
        <v>28</v>
      </c>
      <c r="F1114" s="8" t="s">
        <v>24</v>
      </c>
      <c r="G1114" s="8" t="s">
        <v>27</v>
      </c>
      <c r="H1114" s="8">
        <v>112</v>
      </c>
      <c r="I1114" s="8">
        <v>116</v>
      </c>
      <c r="J1114" s="8">
        <v>114</v>
      </c>
      <c r="K1114" s="8">
        <v>81569</v>
      </c>
      <c r="L1114" s="8">
        <v>6</v>
      </c>
      <c r="M1114" s="8">
        <v>9.4099999669999992</v>
      </c>
      <c r="N1114" s="8">
        <v>3</v>
      </c>
      <c r="O1114" s="8">
        <v>1</v>
      </c>
      <c r="P1114" s="2">
        <f t="shared" si="119"/>
        <v>7.3557356348612837E-3</v>
      </c>
      <c r="Q1114" s="3">
        <f t="shared" si="120"/>
        <v>1.5683333278333331</v>
      </c>
      <c r="R1114" s="4">
        <f t="shared" si="125"/>
        <v>0.16666666666666666</v>
      </c>
      <c r="S1114" s="3">
        <f t="shared" si="121"/>
        <v>9.4099999669999992</v>
      </c>
      <c r="T1114" s="4">
        <f t="shared" si="122"/>
        <v>0.33333333333333331</v>
      </c>
      <c r="U1114" s="3">
        <f t="shared" si="123"/>
        <v>0.11536245346884232</v>
      </c>
      <c r="V1114" s="5">
        <f t="shared" si="124"/>
        <v>4.3134962991865446</v>
      </c>
    </row>
    <row r="1115" spans="1:22" x14ac:dyDescent="0.3">
      <c r="A1115">
        <v>1314384</v>
      </c>
      <c r="B1115" s="1">
        <v>42964</v>
      </c>
      <c r="C1115" s="1">
        <v>42964</v>
      </c>
      <c r="D1115" s="6" t="s">
        <v>28</v>
      </c>
      <c r="E1115" s="6" t="s">
        <v>28</v>
      </c>
      <c r="F1115" s="7" t="s">
        <v>24</v>
      </c>
      <c r="G1115" s="7" t="s">
        <v>27</v>
      </c>
      <c r="H1115" s="7">
        <v>113</v>
      </c>
      <c r="I1115" s="7">
        <v>115</v>
      </c>
      <c r="J1115" s="7">
        <v>114</v>
      </c>
      <c r="K1115" s="7">
        <v>441192</v>
      </c>
      <c r="L1115" s="7">
        <v>53</v>
      </c>
      <c r="M1115" s="7">
        <v>77.599999789999998</v>
      </c>
      <c r="N1115" s="7">
        <v>6</v>
      </c>
      <c r="O1115" s="7">
        <v>2</v>
      </c>
      <c r="P1115" s="2">
        <f t="shared" si="119"/>
        <v>1.2012910478884477E-2</v>
      </c>
      <c r="Q1115" s="3">
        <f t="shared" si="120"/>
        <v>1.4641509394339622</v>
      </c>
      <c r="R1115" s="4">
        <f t="shared" si="125"/>
        <v>3.7735849056603772E-2</v>
      </c>
      <c r="S1115" s="3">
        <f t="shared" si="121"/>
        <v>38.799999894999999</v>
      </c>
      <c r="T1115" s="4">
        <f t="shared" si="122"/>
        <v>0.33333333333333331</v>
      </c>
      <c r="U1115" s="3">
        <f t="shared" si="123"/>
        <v>0.17588714162994795</v>
      </c>
      <c r="V1115" s="5">
        <f t="shared" si="124"/>
        <v>0.28865979730178554</v>
      </c>
    </row>
    <row r="1116" spans="1:22" x14ac:dyDescent="0.3">
      <c r="A1116">
        <v>1314385</v>
      </c>
      <c r="B1116" s="1">
        <v>42964</v>
      </c>
      <c r="C1116" s="1">
        <v>42964</v>
      </c>
      <c r="D1116" s="6" t="s">
        <v>28</v>
      </c>
      <c r="E1116" s="6" t="s">
        <v>28</v>
      </c>
      <c r="F1116" s="8" t="s">
        <v>24</v>
      </c>
      <c r="G1116" s="8" t="s">
        <v>27</v>
      </c>
      <c r="H1116" s="8">
        <v>114</v>
      </c>
      <c r="I1116" s="8">
        <v>115</v>
      </c>
      <c r="J1116" s="8">
        <v>116</v>
      </c>
      <c r="K1116" s="8">
        <v>90470</v>
      </c>
      <c r="L1116" s="8">
        <v>11</v>
      </c>
      <c r="M1116" s="8">
        <v>16.730000019999999</v>
      </c>
      <c r="N1116" s="8">
        <v>1</v>
      </c>
      <c r="O1116" s="8">
        <v>1</v>
      </c>
      <c r="P1116" s="2">
        <f t="shared" si="119"/>
        <v>1.2158726649718139E-2</v>
      </c>
      <c r="Q1116" s="3">
        <f t="shared" si="120"/>
        <v>1.5209090927272726</v>
      </c>
      <c r="R1116" s="4">
        <f t="shared" si="125"/>
        <v>9.0909090909090912E-2</v>
      </c>
      <c r="S1116" s="3">
        <f t="shared" si="121"/>
        <v>16.730000019999999</v>
      </c>
      <c r="T1116" s="4">
        <f t="shared" si="122"/>
        <v>1</v>
      </c>
      <c r="U1116" s="3">
        <f t="shared" si="123"/>
        <v>0.18492317917541723</v>
      </c>
      <c r="V1116" s="5">
        <f t="shared" si="124"/>
        <v>1.9886431524343779</v>
      </c>
    </row>
    <row r="1117" spans="1:22" x14ac:dyDescent="0.3">
      <c r="A1117">
        <v>1314386</v>
      </c>
      <c r="B1117" s="1">
        <v>42964</v>
      </c>
      <c r="C1117" s="1">
        <v>42964</v>
      </c>
      <c r="D1117" s="6" t="s">
        <v>28</v>
      </c>
      <c r="E1117" s="6" t="s">
        <v>28</v>
      </c>
      <c r="F1117" s="7" t="s">
        <v>25</v>
      </c>
      <c r="G1117" s="7" t="s">
        <v>27</v>
      </c>
      <c r="H1117" s="7">
        <v>100</v>
      </c>
      <c r="I1117" s="7">
        <v>102</v>
      </c>
      <c r="J1117" s="7">
        <v>102</v>
      </c>
      <c r="K1117" s="7">
        <v>834243</v>
      </c>
      <c r="L1117" s="7">
        <v>166</v>
      </c>
      <c r="M1117" s="7">
        <v>246.74999750000001</v>
      </c>
      <c r="N1117" s="7">
        <v>18</v>
      </c>
      <c r="O1117" s="7">
        <v>7</v>
      </c>
      <c r="P1117" s="2">
        <f t="shared" si="119"/>
        <v>1.9898279038601464E-2</v>
      </c>
      <c r="Q1117" s="3">
        <f t="shared" si="120"/>
        <v>1.4864457680722891</v>
      </c>
      <c r="R1117" s="4">
        <f t="shared" si="125"/>
        <v>4.2168674698795178E-2</v>
      </c>
      <c r="S1117" s="3">
        <f t="shared" si="121"/>
        <v>35.249999642857141</v>
      </c>
      <c r="T1117" s="4">
        <f t="shared" si="122"/>
        <v>0.3888888888888889</v>
      </c>
      <c r="U1117" s="3">
        <f t="shared" si="123"/>
        <v>0.29577712668850686</v>
      </c>
      <c r="V1117" s="5">
        <f t="shared" si="124"/>
        <v>0.41843973068327989</v>
      </c>
    </row>
    <row r="1118" spans="1:22" x14ac:dyDescent="0.3">
      <c r="A1118">
        <v>1314387</v>
      </c>
      <c r="B1118" s="1">
        <v>42964</v>
      </c>
      <c r="C1118" s="1">
        <v>42964</v>
      </c>
      <c r="D1118" s="6" t="s">
        <v>28</v>
      </c>
      <c r="E1118" s="6" t="s">
        <v>28</v>
      </c>
      <c r="F1118" s="8" t="s">
        <v>25</v>
      </c>
      <c r="G1118" s="8" t="s">
        <v>27</v>
      </c>
      <c r="H1118" s="8">
        <v>101</v>
      </c>
      <c r="I1118" s="8">
        <v>105</v>
      </c>
      <c r="J1118" s="8">
        <v>106</v>
      </c>
      <c r="K1118" s="8">
        <v>696612</v>
      </c>
      <c r="L1118" s="8">
        <v>152</v>
      </c>
      <c r="M1118" s="8">
        <v>223.18999479999999</v>
      </c>
      <c r="N1118" s="8">
        <v>31</v>
      </c>
      <c r="O1118" s="8">
        <v>9</v>
      </c>
      <c r="P1118" s="2">
        <f t="shared" si="119"/>
        <v>2.1819894001251772E-2</v>
      </c>
      <c r="Q1118" s="3">
        <f t="shared" si="120"/>
        <v>1.4683552289473685</v>
      </c>
      <c r="R1118" s="4">
        <f t="shared" si="125"/>
        <v>5.921052631578947E-2</v>
      </c>
      <c r="S1118" s="3">
        <f t="shared" si="121"/>
        <v>24.79888831111111</v>
      </c>
      <c r="T1118" s="4">
        <f t="shared" si="122"/>
        <v>0.29032258064516131</v>
      </c>
      <c r="U1118" s="3">
        <f t="shared" si="123"/>
        <v>0.32039355451815354</v>
      </c>
      <c r="V1118" s="5">
        <f t="shared" si="124"/>
        <v>1.0162194116418342</v>
      </c>
    </row>
    <row r="1119" spans="1:22" x14ac:dyDescent="0.3">
      <c r="A1119">
        <v>1314388</v>
      </c>
      <c r="B1119" s="1">
        <v>42964</v>
      </c>
      <c r="C1119" s="1">
        <v>42964</v>
      </c>
      <c r="D1119" s="6" t="s">
        <v>28</v>
      </c>
      <c r="E1119" s="6" t="s">
        <v>28</v>
      </c>
      <c r="F1119" s="7" t="s">
        <v>25</v>
      </c>
      <c r="G1119" s="7" t="s">
        <v>27</v>
      </c>
      <c r="H1119" s="7">
        <v>102</v>
      </c>
      <c r="I1119" s="7">
        <v>103</v>
      </c>
      <c r="J1119" s="7">
        <v>106</v>
      </c>
      <c r="K1119" s="7">
        <v>329333</v>
      </c>
      <c r="L1119" s="7">
        <v>48</v>
      </c>
      <c r="M1119" s="7">
        <v>67.609999180000003</v>
      </c>
      <c r="N1119" s="7">
        <v>1</v>
      </c>
      <c r="O1119" s="7">
        <v>0</v>
      </c>
      <c r="P1119" s="2">
        <f t="shared" si="119"/>
        <v>1.4574913537361881E-2</v>
      </c>
      <c r="Q1119" s="3">
        <f t="shared" si="120"/>
        <v>1.4085416495833334</v>
      </c>
      <c r="R1119" s="4">
        <f t="shared" si="125"/>
        <v>0</v>
      </c>
      <c r="S1119" s="3">
        <f t="shared" si="121"/>
        <v>0</v>
      </c>
      <c r="T1119" s="4">
        <f t="shared" si="122"/>
        <v>0</v>
      </c>
      <c r="U1119" s="3">
        <f t="shared" si="123"/>
        <v>0.20529372756450159</v>
      </c>
      <c r="V1119" s="5">
        <f t="shared" si="124"/>
        <v>-1</v>
      </c>
    </row>
    <row r="1120" spans="1:22" x14ac:dyDescent="0.3">
      <c r="A1120">
        <v>1314389</v>
      </c>
      <c r="B1120" s="1">
        <v>42964</v>
      </c>
      <c r="C1120" s="1">
        <v>42964</v>
      </c>
      <c r="D1120" s="6" t="s">
        <v>28</v>
      </c>
      <c r="E1120" s="6" t="s">
        <v>28</v>
      </c>
      <c r="F1120" s="8" t="s">
        <v>25</v>
      </c>
      <c r="G1120" s="8" t="s">
        <v>27</v>
      </c>
      <c r="H1120" s="8">
        <v>103</v>
      </c>
      <c r="I1120" s="8">
        <v>104</v>
      </c>
      <c r="J1120" s="8">
        <v>105</v>
      </c>
      <c r="K1120" s="8">
        <v>1114711</v>
      </c>
      <c r="L1120" s="8">
        <v>224</v>
      </c>
      <c r="M1120" s="8">
        <v>319.00000189999997</v>
      </c>
      <c r="N1120" s="8">
        <v>6</v>
      </c>
      <c r="O1120" s="8">
        <v>0</v>
      </c>
      <c r="P1120" s="2">
        <f t="shared" si="119"/>
        <v>2.0094894551143747E-2</v>
      </c>
      <c r="Q1120" s="3">
        <f t="shared" si="120"/>
        <v>1.4241071513392856</v>
      </c>
      <c r="R1120" s="4">
        <f t="shared" si="125"/>
        <v>0</v>
      </c>
      <c r="S1120" s="3">
        <f t="shared" si="121"/>
        <v>0</v>
      </c>
      <c r="T1120" s="4">
        <f t="shared" si="122"/>
        <v>0</v>
      </c>
      <c r="U1120" s="3">
        <f t="shared" si="123"/>
        <v>0.28617283035692659</v>
      </c>
      <c r="V1120" s="5">
        <f t="shared" si="124"/>
        <v>-1</v>
      </c>
    </row>
    <row r="1121" spans="1:22" x14ac:dyDescent="0.3">
      <c r="A1121">
        <v>1314390</v>
      </c>
      <c r="B1121" s="1">
        <v>42964</v>
      </c>
      <c r="C1121" s="1">
        <v>42964</v>
      </c>
      <c r="D1121" s="6" t="s">
        <v>28</v>
      </c>
      <c r="E1121" s="6" t="s">
        <v>28</v>
      </c>
      <c r="F1121" s="7" t="s">
        <v>25</v>
      </c>
      <c r="G1121" s="7" t="s">
        <v>27</v>
      </c>
      <c r="H1121" s="7">
        <v>104</v>
      </c>
      <c r="I1121" s="7">
        <v>107</v>
      </c>
      <c r="J1121" s="7">
        <v>107</v>
      </c>
      <c r="K1121" s="7">
        <v>267316</v>
      </c>
      <c r="L1121" s="7">
        <v>58</v>
      </c>
      <c r="M1121" s="7">
        <v>82.929998870000006</v>
      </c>
      <c r="N1121" s="7">
        <v>3</v>
      </c>
      <c r="O1121" s="7">
        <v>0</v>
      </c>
      <c r="P1121" s="2">
        <f t="shared" si="119"/>
        <v>2.1697167397387362E-2</v>
      </c>
      <c r="Q1121" s="3">
        <f t="shared" si="120"/>
        <v>1.429827566724138</v>
      </c>
      <c r="R1121" s="4">
        <f t="shared" si="125"/>
        <v>0</v>
      </c>
      <c r="S1121" s="3">
        <f t="shared" si="121"/>
        <v>0</v>
      </c>
      <c r="T1121" s="4">
        <f t="shared" si="122"/>
        <v>0</v>
      </c>
      <c r="U1121" s="3">
        <f t="shared" si="123"/>
        <v>0.31023208064612667</v>
      </c>
      <c r="V1121" s="5">
        <f t="shared" si="124"/>
        <v>-1</v>
      </c>
    </row>
    <row r="1122" spans="1:22" x14ac:dyDescent="0.3">
      <c r="A1122">
        <v>1314391</v>
      </c>
      <c r="B1122" s="1">
        <v>42966</v>
      </c>
      <c r="C1122" s="1">
        <v>42966</v>
      </c>
      <c r="D1122" s="6" t="s">
        <v>28</v>
      </c>
      <c r="E1122" s="6" t="s">
        <v>28</v>
      </c>
      <c r="F1122" s="8" t="s">
        <v>25</v>
      </c>
      <c r="G1122" s="8" t="s">
        <v>27</v>
      </c>
      <c r="H1122" s="8">
        <v>105</v>
      </c>
      <c r="I1122" s="8">
        <v>109</v>
      </c>
      <c r="J1122" s="8">
        <v>106</v>
      </c>
      <c r="K1122" s="8">
        <v>228629</v>
      </c>
      <c r="L1122" s="8">
        <v>38</v>
      </c>
      <c r="M1122" s="8">
        <v>57</v>
      </c>
      <c r="N1122" s="8">
        <v>2</v>
      </c>
      <c r="O1122" s="8">
        <v>0</v>
      </c>
      <c r="P1122" s="2">
        <f t="shared" si="119"/>
        <v>1.6620813632566296E-2</v>
      </c>
      <c r="Q1122" s="3">
        <f t="shared" si="120"/>
        <v>1.5</v>
      </c>
      <c r="R1122" s="4">
        <f t="shared" si="125"/>
        <v>0</v>
      </c>
      <c r="S1122" s="3">
        <f t="shared" si="121"/>
        <v>0</v>
      </c>
      <c r="T1122" s="4">
        <f t="shared" si="122"/>
        <v>0</v>
      </c>
      <c r="U1122" s="3">
        <f t="shared" si="123"/>
        <v>0.24931220448849445</v>
      </c>
      <c r="V1122" s="5">
        <f t="shared" si="124"/>
        <v>-1</v>
      </c>
    </row>
    <row r="1123" spans="1:22" x14ac:dyDescent="0.3">
      <c r="A1123">
        <v>1314392</v>
      </c>
      <c r="B1123" s="1">
        <v>42966</v>
      </c>
      <c r="C1123" s="1">
        <v>42966</v>
      </c>
      <c r="D1123" s="6" t="s">
        <v>28</v>
      </c>
      <c r="E1123" s="6" t="s">
        <v>28</v>
      </c>
      <c r="F1123" s="7" t="s">
        <v>25</v>
      </c>
      <c r="G1123" s="7" t="s">
        <v>27</v>
      </c>
      <c r="H1123" s="7">
        <v>106</v>
      </c>
      <c r="I1123" s="7">
        <v>107</v>
      </c>
      <c r="J1123" s="7">
        <v>111</v>
      </c>
      <c r="K1123" s="7">
        <v>758340</v>
      </c>
      <c r="L1123" s="7">
        <v>159</v>
      </c>
      <c r="M1123" s="7">
        <v>233.11000200000001</v>
      </c>
      <c r="N1123" s="7">
        <v>13</v>
      </c>
      <c r="O1123" s="7">
        <v>4</v>
      </c>
      <c r="P1123" s="2">
        <f t="shared" si="119"/>
        <v>2.0966848643088853E-2</v>
      </c>
      <c r="Q1123" s="3">
        <f t="shared" si="120"/>
        <v>1.466100641509434</v>
      </c>
      <c r="R1123" s="4">
        <f t="shared" si="125"/>
        <v>2.5157232704402517E-2</v>
      </c>
      <c r="S1123" s="3">
        <f t="shared" si="121"/>
        <v>58.277500500000002</v>
      </c>
      <c r="T1123" s="4">
        <f t="shared" si="122"/>
        <v>0.30769230769230771</v>
      </c>
      <c r="U1123" s="3">
        <f t="shared" si="123"/>
        <v>0.30739510246063773</v>
      </c>
      <c r="V1123" s="5">
        <f t="shared" si="124"/>
        <v>-0.14203595605477284</v>
      </c>
    </row>
    <row r="1124" spans="1:22" x14ac:dyDescent="0.3">
      <c r="A1124">
        <v>1314393</v>
      </c>
      <c r="B1124" s="1">
        <v>42967</v>
      </c>
      <c r="C1124" s="1">
        <v>42967</v>
      </c>
      <c r="D1124" s="6" t="s">
        <v>28</v>
      </c>
      <c r="E1124" s="6" t="s">
        <v>28</v>
      </c>
      <c r="F1124" s="8" t="s">
        <v>25</v>
      </c>
      <c r="G1124" s="8" t="s">
        <v>27</v>
      </c>
      <c r="H1124" s="8">
        <v>107</v>
      </c>
      <c r="I1124" s="8">
        <v>108</v>
      </c>
      <c r="J1124" s="8">
        <v>110</v>
      </c>
      <c r="K1124" s="8">
        <v>877535</v>
      </c>
      <c r="L1124" s="8">
        <v>149</v>
      </c>
      <c r="M1124" s="8">
        <v>217.7799966</v>
      </c>
      <c r="N1124" s="8">
        <v>5</v>
      </c>
      <c r="O1124" s="8">
        <v>2</v>
      </c>
      <c r="P1124" s="2">
        <f t="shared" si="119"/>
        <v>1.6979379739839436E-2</v>
      </c>
      <c r="Q1124" s="3">
        <f t="shared" si="120"/>
        <v>1.4616107154362417</v>
      </c>
      <c r="R1124" s="4">
        <f t="shared" si="125"/>
        <v>1.3422818791946308E-2</v>
      </c>
      <c r="S1124" s="3">
        <f t="shared" si="121"/>
        <v>108.8899983</v>
      </c>
      <c r="T1124" s="4">
        <f t="shared" si="122"/>
        <v>0.4</v>
      </c>
      <c r="U1124" s="3">
        <f t="shared" si="123"/>
        <v>0.24817243369210346</v>
      </c>
      <c r="V1124" s="5">
        <f t="shared" si="124"/>
        <v>-0.54082100486174767</v>
      </c>
    </row>
    <row r="1125" spans="1:22" x14ac:dyDescent="0.3">
      <c r="A1125">
        <v>1314394</v>
      </c>
      <c r="B1125" s="1">
        <v>42967</v>
      </c>
      <c r="C1125" s="1">
        <v>42967</v>
      </c>
      <c r="D1125" s="6" t="s">
        <v>28</v>
      </c>
      <c r="E1125" s="6" t="s">
        <v>28</v>
      </c>
      <c r="F1125" s="7" t="s">
        <v>25</v>
      </c>
      <c r="G1125" s="7" t="s">
        <v>27</v>
      </c>
      <c r="H1125" s="7">
        <v>108</v>
      </c>
      <c r="I1125" s="7">
        <v>113</v>
      </c>
      <c r="J1125" s="7">
        <v>112</v>
      </c>
      <c r="K1125" s="7">
        <v>1357386</v>
      </c>
      <c r="L1125" s="7">
        <v>223</v>
      </c>
      <c r="M1125" s="7">
        <v>323.06000710000001</v>
      </c>
      <c r="N1125" s="7">
        <v>10</v>
      </c>
      <c r="O1125" s="7">
        <v>1</v>
      </c>
      <c r="P1125" s="2">
        <f t="shared" si="119"/>
        <v>1.6428635627595983E-2</v>
      </c>
      <c r="Q1125" s="3">
        <f t="shared" si="120"/>
        <v>1.4486995834080718</v>
      </c>
      <c r="R1125" s="4">
        <f t="shared" si="125"/>
        <v>4.4843049327354259E-3</v>
      </c>
      <c r="S1125" s="3">
        <f t="shared" si="121"/>
        <v>323.06000710000001</v>
      </c>
      <c r="T1125" s="4">
        <f t="shared" si="122"/>
        <v>0.1</v>
      </c>
      <c r="U1125" s="3">
        <f t="shared" si="123"/>
        <v>0.23800157589661305</v>
      </c>
      <c r="V1125" s="5">
        <f t="shared" si="124"/>
        <v>-0.84522999163891244</v>
      </c>
    </row>
    <row r="1126" spans="1:22" x14ac:dyDescent="0.3">
      <c r="A1126">
        <v>1314395</v>
      </c>
      <c r="B1126" s="1">
        <v>42967</v>
      </c>
      <c r="C1126" s="1">
        <v>42967</v>
      </c>
      <c r="D1126" s="6" t="s">
        <v>28</v>
      </c>
      <c r="E1126" s="6" t="s">
        <v>28</v>
      </c>
      <c r="F1126" s="8" t="s">
        <v>25</v>
      </c>
      <c r="G1126" s="8" t="s">
        <v>27</v>
      </c>
      <c r="H1126" s="8">
        <v>109</v>
      </c>
      <c r="I1126" s="8">
        <v>115</v>
      </c>
      <c r="J1126" s="8">
        <v>115</v>
      </c>
      <c r="K1126" s="8">
        <v>280240</v>
      </c>
      <c r="L1126" s="8">
        <v>61</v>
      </c>
      <c r="M1126" s="8">
        <v>87.990001680000006</v>
      </c>
      <c r="N1126" s="8">
        <v>2</v>
      </c>
      <c r="O1126" s="8">
        <v>2</v>
      </c>
      <c r="P1126" s="2">
        <f t="shared" si="119"/>
        <v>2.1767056808449901E-2</v>
      </c>
      <c r="Q1126" s="3">
        <f t="shared" si="120"/>
        <v>1.4424590439344263</v>
      </c>
      <c r="R1126" s="4">
        <f t="shared" si="125"/>
        <v>3.2786885245901641E-2</v>
      </c>
      <c r="S1126" s="3">
        <f t="shared" si="121"/>
        <v>43.995000840000003</v>
      </c>
      <c r="T1126" s="4">
        <f t="shared" si="122"/>
        <v>1</v>
      </c>
      <c r="U1126" s="3">
        <f t="shared" si="123"/>
        <v>0.3139808795318299</v>
      </c>
      <c r="V1126" s="5">
        <f t="shared" si="124"/>
        <v>0.13649276157168036</v>
      </c>
    </row>
    <row r="1127" spans="1:22" x14ac:dyDescent="0.3">
      <c r="A1127">
        <v>1314396</v>
      </c>
      <c r="B1127" s="1">
        <v>42967</v>
      </c>
      <c r="C1127" s="1">
        <v>42967</v>
      </c>
      <c r="D1127" s="6" t="s">
        <v>28</v>
      </c>
      <c r="E1127" s="6" t="s">
        <v>28</v>
      </c>
      <c r="F1127" s="7" t="s">
        <v>25</v>
      </c>
      <c r="G1127" s="7" t="s">
        <v>27</v>
      </c>
      <c r="H1127" s="7">
        <v>110</v>
      </c>
      <c r="I1127" s="7">
        <v>116</v>
      </c>
      <c r="J1127" s="7">
        <v>116</v>
      </c>
      <c r="K1127" s="7">
        <v>419922</v>
      </c>
      <c r="L1127" s="7">
        <v>75</v>
      </c>
      <c r="M1127" s="7">
        <v>105.4500008</v>
      </c>
      <c r="N1127" s="7">
        <v>3</v>
      </c>
      <c r="O1127" s="7">
        <v>1</v>
      </c>
      <c r="P1127" s="2">
        <f t="shared" si="119"/>
        <v>1.7860459799677084E-2</v>
      </c>
      <c r="Q1127" s="3">
        <f t="shared" si="120"/>
        <v>1.4060000106666666</v>
      </c>
      <c r="R1127" s="4">
        <f t="shared" si="125"/>
        <v>1.3333333333333334E-2</v>
      </c>
      <c r="S1127" s="3">
        <f t="shared" si="121"/>
        <v>105.4500008</v>
      </c>
      <c r="T1127" s="4">
        <f t="shared" si="122"/>
        <v>0.33333333333333331</v>
      </c>
      <c r="U1127" s="3">
        <f t="shared" si="123"/>
        <v>0.2511180666885755</v>
      </c>
      <c r="V1127" s="5">
        <f t="shared" si="124"/>
        <v>-0.52584163470200751</v>
      </c>
    </row>
    <row r="1128" spans="1:22" x14ac:dyDescent="0.3">
      <c r="A1128">
        <v>1314397</v>
      </c>
      <c r="B1128" s="1">
        <v>42967</v>
      </c>
      <c r="C1128" s="1">
        <v>42967</v>
      </c>
      <c r="D1128" s="6" t="s">
        <v>28</v>
      </c>
      <c r="E1128" s="6" t="s">
        <v>28</v>
      </c>
      <c r="F1128" s="8" t="s">
        <v>25</v>
      </c>
      <c r="G1128" s="8" t="s">
        <v>27</v>
      </c>
      <c r="H1128" s="8">
        <v>111</v>
      </c>
      <c r="I1128" s="8">
        <v>116</v>
      </c>
      <c r="J1128" s="8">
        <v>115</v>
      </c>
      <c r="K1128" s="8">
        <v>402975</v>
      </c>
      <c r="L1128" s="8">
        <v>83</v>
      </c>
      <c r="M1128" s="8">
        <v>120.8999977</v>
      </c>
      <c r="N1128" s="8">
        <v>1</v>
      </c>
      <c r="O1128" s="8">
        <v>0</v>
      </c>
      <c r="P1128" s="2">
        <f t="shared" si="119"/>
        <v>2.0596811216576711E-2</v>
      </c>
      <c r="Q1128" s="3">
        <f t="shared" si="120"/>
        <v>1.456626478313253</v>
      </c>
      <c r="R1128" s="4">
        <f t="shared" si="125"/>
        <v>0</v>
      </c>
      <c r="S1128" s="3">
        <f t="shared" si="121"/>
        <v>0</v>
      </c>
      <c r="T1128" s="4">
        <f t="shared" si="122"/>
        <v>0</v>
      </c>
      <c r="U1128" s="3">
        <f t="shared" si="123"/>
        <v>0.30001860586885043</v>
      </c>
      <c r="V1128" s="5">
        <f t="shared" si="124"/>
        <v>-1</v>
      </c>
    </row>
    <row r="1129" spans="1:22" x14ac:dyDescent="0.3">
      <c r="A1129">
        <v>1314398</v>
      </c>
      <c r="B1129" s="1">
        <v>42967</v>
      </c>
      <c r="C1129" s="1">
        <v>42967</v>
      </c>
      <c r="D1129" s="6" t="s">
        <v>28</v>
      </c>
      <c r="E1129" s="6" t="s">
        <v>28</v>
      </c>
      <c r="F1129" s="7" t="s">
        <v>25</v>
      </c>
      <c r="G1129" s="7" t="s">
        <v>27</v>
      </c>
      <c r="H1129" s="7">
        <v>112</v>
      </c>
      <c r="I1129" s="7">
        <v>115</v>
      </c>
      <c r="J1129" s="7">
        <v>116</v>
      </c>
      <c r="K1129" s="7">
        <v>1137635</v>
      </c>
      <c r="L1129" s="7">
        <v>211</v>
      </c>
      <c r="M1129" s="7">
        <v>301.0499992</v>
      </c>
      <c r="N1129" s="7">
        <v>30</v>
      </c>
      <c r="O1129" s="7">
        <v>10</v>
      </c>
      <c r="P1129" s="2">
        <f t="shared" si="119"/>
        <v>1.8547249337441271E-2</v>
      </c>
      <c r="Q1129" s="3">
        <f t="shared" si="120"/>
        <v>1.4267772473933649</v>
      </c>
      <c r="R1129" s="4">
        <f t="shared" si="125"/>
        <v>4.7393364928909949E-2</v>
      </c>
      <c r="S1129" s="3">
        <f t="shared" si="121"/>
        <v>30.104999920000001</v>
      </c>
      <c r="T1129" s="4">
        <f t="shared" si="122"/>
        <v>0.33333333333333331</v>
      </c>
      <c r="U1129" s="3">
        <f t="shared" si="123"/>
        <v>0.26462793356392866</v>
      </c>
      <c r="V1129" s="5">
        <f t="shared" si="124"/>
        <v>0.66085368320439442</v>
      </c>
    </row>
    <row r="1130" spans="1:22" x14ac:dyDescent="0.3">
      <c r="A1130">
        <v>1314400</v>
      </c>
      <c r="B1130" s="1">
        <v>42967</v>
      </c>
      <c r="C1130" s="1">
        <v>42967</v>
      </c>
      <c r="D1130" s="6" t="s">
        <v>28</v>
      </c>
      <c r="E1130" s="6" t="s">
        <v>28</v>
      </c>
      <c r="F1130" s="8" t="s">
        <v>25</v>
      </c>
      <c r="G1130" s="8" t="s">
        <v>27</v>
      </c>
      <c r="H1130" s="8">
        <v>114</v>
      </c>
      <c r="I1130" s="8">
        <v>118</v>
      </c>
      <c r="J1130" s="8">
        <v>119</v>
      </c>
      <c r="K1130" s="8">
        <v>250234</v>
      </c>
      <c r="L1130" s="8">
        <v>40</v>
      </c>
      <c r="M1130" s="8">
        <v>62.31999922</v>
      </c>
      <c r="N1130" s="8">
        <v>4</v>
      </c>
      <c r="O1130" s="8">
        <v>1</v>
      </c>
      <c r="P1130" s="2">
        <f t="shared" si="119"/>
        <v>1.5985038004427854E-2</v>
      </c>
      <c r="Q1130" s="3">
        <f t="shared" si="120"/>
        <v>1.5579999805</v>
      </c>
      <c r="R1130" s="4">
        <f t="shared" si="125"/>
        <v>2.5000000000000001E-2</v>
      </c>
      <c r="S1130" s="3">
        <f t="shared" si="121"/>
        <v>62.31999922</v>
      </c>
      <c r="T1130" s="4">
        <f t="shared" si="122"/>
        <v>0.25</v>
      </c>
      <c r="U1130" s="3">
        <f t="shared" si="123"/>
        <v>0.24904688899190358</v>
      </c>
      <c r="V1130" s="5">
        <f t="shared" si="124"/>
        <v>-0.19768933527274843</v>
      </c>
    </row>
    <row r="1131" spans="1:22" x14ac:dyDescent="0.3">
      <c r="A1131">
        <v>1314401</v>
      </c>
      <c r="B1131" s="1">
        <v>42967</v>
      </c>
      <c r="C1131" s="1">
        <v>42967</v>
      </c>
      <c r="D1131" s="6" t="s">
        <v>28</v>
      </c>
      <c r="E1131" s="6" t="s">
        <v>28</v>
      </c>
      <c r="F1131" s="7" t="s">
        <v>26</v>
      </c>
      <c r="G1131" s="7" t="s">
        <v>27</v>
      </c>
      <c r="H1131" s="7">
        <v>100</v>
      </c>
      <c r="I1131" s="7">
        <v>106</v>
      </c>
      <c r="J1131" s="7">
        <v>101</v>
      </c>
      <c r="K1131" s="7">
        <v>904907</v>
      </c>
      <c r="L1131" s="7">
        <v>195</v>
      </c>
      <c r="M1131" s="7">
        <v>279.21999499999998</v>
      </c>
      <c r="N1131" s="7">
        <v>11</v>
      </c>
      <c r="O1131" s="7">
        <v>1</v>
      </c>
      <c r="P1131" s="2">
        <f t="shared" si="119"/>
        <v>2.1549175771653883E-2</v>
      </c>
      <c r="Q1131" s="3">
        <f t="shared" si="120"/>
        <v>1.4318974102564102</v>
      </c>
      <c r="R1131" s="4">
        <f t="shared" si="125"/>
        <v>5.1282051282051282E-3</v>
      </c>
      <c r="S1131" s="3">
        <f t="shared" si="121"/>
        <v>279.21999499999998</v>
      </c>
      <c r="T1131" s="4">
        <f t="shared" si="122"/>
        <v>9.0909090909090912E-2</v>
      </c>
      <c r="U1131" s="3">
        <f t="shared" si="123"/>
        <v>0.30856208980591376</v>
      </c>
      <c r="V1131" s="5">
        <f t="shared" si="124"/>
        <v>-0.82092972962054522</v>
      </c>
    </row>
    <row r="1132" spans="1:22" x14ac:dyDescent="0.3">
      <c r="A1132">
        <v>1314402</v>
      </c>
      <c r="B1132" s="1">
        <v>42967</v>
      </c>
      <c r="C1132" s="1">
        <v>42967</v>
      </c>
      <c r="D1132" s="6" t="s">
        <v>28</v>
      </c>
      <c r="E1132" s="6" t="s">
        <v>28</v>
      </c>
      <c r="F1132" s="8" t="s">
        <v>26</v>
      </c>
      <c r="G1132" s="8" t="s">
        <v>27</v>
      </c>
      <c r="H1132" s="8">
        <v>101</v>
      </c>
      <c r="I1132" s="8">
        <v>105</v>
      </c>
      <c r="J1132" s="8">
        <v>105</v>
      </c>
      <c r="K1132" s="8">
        <v>589270</v>
      </c>
      <c r="L1132" s="8">
        <v>107</v>
      </c>
      <c r="M1132" s="8">
        <v>158.05000229999999</v>
      </c>
      <c r="N1132" s="8">
        <v>10</v>
      </c>
      <c r="O1132" s="8">
        <v>4</v>
      </c>
      <c r="P1132" s="2">
        <f t="shared" si="119"/>
        <v>1.8158059972508356E-2</v>
      </c>
      <c r="Q1132" s="3">
        <f t="shared" si="120"/>
        <v>1.4771028252336447</v>
      </c>
      <c r="R1132" s="4">
        <f t="shared" si="125"/>
        <v>3.7383177570093455E-2</v>
      </c>
      <c r="S1132" s="3">
        <f t="shared" si="121"/>
        <v>39.512500574999997</v>
      </c>
      <c r="T1132" s="4">
        <f t="shared" si="122"/>
        <v>0.4</v>
      </c>
      <c r="U1132" s="3">
        <f t="shared" si="123"/>
        <v>0.26821321686154054</v>
      </c>
      <c r="V1132" s="5">
        <f t="shared" si="124"/>
        <v>0.2654223162893305</v>
      </c>
    </row>
    <row r="1133" spans="1:22" x14ac:dyDescent="0.3">
      <c r="A1133">
        <v>1314403</v>
      </c>
      <c r="B1133" s="1">
        <v>42967</v>
      </c>
      <c r="C1133" s="1">
        <v>42967</v>
      </c>
      <c r="D1133" s="6" t="s">
        <v>28</v>
      </c>
      <c r="E1133" s="6" t="s">
        <v>28</v>
      </c>
      <c r="F1133" s="7" t="s">
        <v>26</v>
      </c>
      <c r="G1133" s="7" t="s">
        <v>27</v>
      </c>
      <c r="H1133" s="7">
        <v>102</v>
      </c>
      <c r="I1133" s="7">
        <v>104</v>
      </c>
      <c r="J1133" s="7">
        <v>104</v>
      </c>
      <c r="K1133" s="7">
        <v>168714</v>
      </c>
      <c r="L1133" s="7">
        <v>24</v>
      </c>
      <c r="M1133" s="7">
        <v>36.01000071</v>
      </c>
      <c r="N1133" s="7">
        <v>2</v>
      </c>
      <c r="O1133" s="7">
        <v>2</v>
      </c>
      <c r="P1133" s="2">
        <f t="shared" si="119"/>
        <v>1.4225256943703546E-2</v>
      </c>
      <c r="Q1133" s="3">
        <f t="shared" si="120"/>
        <v>1.5004166962500001</v>
      </c>
      <c r="R1133" s="4">
        <f t="shared" si="125"/>
        <v>8.3333333333333329E-2</v>
      </c>
      <c r="S1133" s="3">
        <f t="shared" si="121"/>
        <v>18.005000355</v>
      </c>
      <c r="T1133" s="4">
        <f t="shared" si="122"/>
        <v>1</v>
      </c>
      <c r="U1133" s="3">
        <f t="shared" si="123"/>
        <v>0.21343813026779046</v>
      </c>
      <c r="V1133" s="5">
        <f t="shared" si="124"/>
        <v>1.7770063323611638</v>
      </c>
    </row>
    <row r="1134" spans="1:22" x14ac:dyDescent="0.3">
      <c r="A1134">
        <v>1314404</v>
      </c>
      <c r="B1134" s="1">
        <v>42966</v>
      </c>
      <c r="C1134" s="1">
        <v>42966</v>
      </c>
      <c r="D1134" s="6" t="s">
        <v>28</v>
      </c>
      <c r="E1134" s="6" t="s">
        <v>28</v>
      </c>
      <c r="F1134" s="8" t="s">
        <v>26</v>
      </c>
      <c r="G1134" s="8" t="s">
        <v>27</v>
      </c>
      <c r="H1134" s="8">
        <v>103</v>
      </c>
      <c r="I1134" s="8">
        <v>105</v>
      </c>
      <c r="J1134" s="8">
        <v>104</v>
      </c>
      <c r="K1134" s="8">
        <v>71982</v>
      </c>
      <c r="L1134" s="8">
        <v>11</v>
      </c>
      <c r="M1134" s="8">
        <v>16.340000509999999</v>
      </c>
      <c r="N1134" s="8">
        <v>1</v>
      </c>
      <c r="O1134" s="8">
        <v>0</v>
      </c>
      <c r="P1134" s="2">
        <f t="shared" si="119"/>
        <v>1.5281598177322109E-2</v>
      </c>
      <c r="Q1134" s="3">
        <f t="shared" si="120"/>
        <v>1.4854545918181818</v>
      </c>
      <c r="R1134" s="4">
        <f t="shared" si="125"/>
        <v>0</v>
      </c>
      <c r="S1134" s="3">
        <f t="shared" si="121"/>
        <v>0</v>
      </c>
      <c r="T1134" s="4">
        <f t="shared" si="122"/>
        <v>0</v>
      </c>
      <c r="U1134" s="3">
        <f t="shared" si="123"/>
        <v>0.22700120182823483</v>
      </c>
      <c r="V1134" s="5">
        <f t="shared" si="124"/>
        <v>-1</v>
      </c>
    </row>
    <row r="1135" spans="1:22" x14ac:dyDescent="0.3">
      <c r="A1135">
        <v>1314405</v>
      </c>
      <c r="B1135" s="1">
        <v>42966</v>
      </c>
      <c r="C1135" s="1">
        <v>42966</v>
      </c>
      <c r="D1135" s="6" t="s">
        <v>28</v>
      </c>
      <c r="E1135" s="6" t="s">
        <v>28</v>
      </c>
      <c r="F1135" s="7" t="s">
        <v>26</v>
      </c>
      <c r="G1135" s="7" t="s">
        <v>27</v>
      </c>
      <c r="H1135" s="7">
        <v>104</v>
      </c>
      <c r="I1135" s="7">
        <v>107</v>
      </c>
      <c r="J1135" s="7">
        <v>110</v>
      </c>
      <c r="K1135" s="7">
        <v>558666</v>
      </c>
      <c r="L1135" s="7">
        <v>110</v>
      </c>
      <c r="M1135" s="7">
        <v>162.63999749999999</v>
      </c>
      <c r="N1135" s="7">
        <v>14</v>
      </c>
      <c r="O1135" s="7">
        <v>5</v>
      </c>
      <c r="P1135" s="2">
        <f t="shared" si="119"/>
        <v>1.9689760966301869E-2</v>
      </c>
      <c r="Q1135" s="3">
        <f t="shared" si="120"/>
        <v>1.4785454318181817</v>
      </c>
      <c r="R1135" s="4">
        <f t="shared" si="125"/>
        <v>4.5454545454545456E-2</v>
      </c>
      <c r="S1135" s="3">
        <f t="shared" si="121"/>
        <v>32.5279995</v>
      </c>
      <c r="T1135" s="4">
        <f t="shared" si="122"/>
        <v>0.35714285714285715</v>
      </c>
      <c r="U1135" s="3">
        <f t="shared" si="123"/>
        <v>0.29112206130317575</v>
      </c>
      <c r="V1135" s="5">
        <f t="shared" si="124"/>
        <v>0.53713725924030475</v>
      </c>
    </row>
    <row r="1136" spans="1:22" x14ac:dyDescent="0.3">
      <c r="A1136">
        <v>1314406</v>
      </c>
      <c r="B1136" s="1">
        <v>42966</v>
      </c>
      <c r="C1136" s="1">
        <v>42966</v>
      </c>
      <c r="D1136" s="6" t="s">
        <v>28</v>
      </c>
      <c r="E1136" s="6" t="s">
        <v>28</v>
      </c>
      <c r="F1136" s="8" t="s">
        <v>26</v>
      </c>
      <c r="G1136" s="8" t="s">
        <v>27</v>
      </c>
      <c r="H1136" s="8">
        <v>105</v>
      </c>
      <c r="I1136" s="8">
        <v>106</v>
      </c>
      <c r="J1136" s="8">
        <v>109</v>
      </c>
      <c r="K1136" s="8">
        <v>1118200</v>
      </c>
      <c r="L1136" s="8">
        <v>235</v>
      </c>
      <c r="M1136" s="8">
        <v>333.74999430000003</v>
      </c>
      <c r="N1136" s="8">
        <v>11</v>
      </c>
      <c r="O1136" s="8">
        <v>4</v>
      </c>
      <c r="P1136" s="2">
        <f t="shared" si="119"/>
        <v>2.1015918440350563E-2</v>
      </c>
      <c r="Q1136" s="3">
        <f t="shared" si="120"/>
        <v>1.4202127417021277</v>
      </c>
      <c r="R1136" s="4">
        <f t="shared" si="125"/>
        <v>1.7021276595744681E-2</v>
      </c>
      <c r="S1136" s="3">
        <f t="shared" si="121"/>
        <v>83.437498575000006</v>
      </c>
      <c r="T1136" s="4">
        <f t="shared" si="122"/>
        <v>0.36363636363636365</v>
      </c>
      <c r="U1136" s="3">
        <f t="shared" si="123"/>
        <v>0.29847075147558583</v>
      </c>
      <c r="V1136" s="5">
        <f t="shared" si="124"/>
        <v>-0.40074905343601386</v>
      </c>
    </row>
    <row r="1137" spans="1:22" x14ac:dyDescent="0.3">
      <c r="A1137">
        <v>1314407</v>
      </c>
      <c r="B1137" s="1">
        <v>42966</v>
      </c>
      <c r="C1137" s="1">
        <v>42966</v>
      </c>
      <c r="D1137" s="6" t="s">
        <v>28</v>
      </c>
      <c r="E1137" s="6" t="s">
        <v>28</v>
      </c>
      <c r="F1137" s="7" t="s">
        <v>26</v>
      </c>
      <c r="G1137" s="7" t="s">
        <v>27</v>
      </c>
      <c r="H1137" s="7">
        <v>106</v>
      </c>
      <c r="I1137" s="7">
        <v>112</v>
      </c>
      <c r="J1137" s="7">
        <v>108</v>
      </c>
      <c r="K1137" s="7">
        <v>107100</v>
      </c>
      <c r="L1137" s="7">
        <v>23</v>
      </c>
      <c r="M1137" s="7">
        <v>33.71000051</v>
      </c>
      <c r="N1137" s="7">
        <v>1</v>
      </c>
      <c r="O1137" s="7">
        <v>0</v>
      </c>
      <c r="P1137" s="2">
        <f t="shared" si="119"/>
        <v>2.1475256769374416E-2</v>
      </c>
      <c r="Q1137" s="3">
        <f t="shared" si="120"/>
        <v>1.4656521960869566</v>
      </c>
      <c r="R1137" s="4">
        <f t="shared" si="125"/>
        <v>0</v>
      </c>
      <c r="S1137" s="3">
        <f t="shared" si="121"/>
        <v>0</v>
      </c>
      <c r="T1137" s="4">
        <f t="shared" si="122"/>
        <v>0</v>
      </c>
      <c r="U1137" s="3">
        <f t="shared" si="123"/>
        <v>0.31475257245564892</v>
      </c>
      <c r="V1137" s="5">
        <f t="shared" si="124"/>
        <v>-1</v>
      </c>
    </row>
    <row r="1138" spans="1:22" x14ac:dyDescent="0.3">
      <c r="A1138">
        <v>1314408</v>
      </c>
      <c r="B1138" s="1">
        <v>42966</v>
      </c>
      <c r="C1138" s="1">
        <v>42966</v>
      </c>
      <c r="D1138" s="6" t="s">
        <v>28</v>
      </c>
      <c r="E1138" s="6" t="s">
        <v>28</v>
      </c>
      <c r="F1138" s="8" t="s">
        <v>26</v>
      </c>
      <c r="G1138" s="8" t="s">
        <v>27</v>
      </c>
      <c r="H1138" s="8">
        <v>107</v>
      </c>
      <c r="I1138" s="8">
        <v>113</v>
      </c>
      <c r="J1138" s="8">
        <v>112</v>
      </c>
      <c r="K1138" s="8">
        <v>877769</v>
      </c>
      <c r="L1138" s="8">
        <v>160</v>
      </c>
      <c r="M1138" s="8">
        <v>232.5900005</v>
      </c>
      <c r="N1138" s="8">
        <v>13</v>
      </c>
      <c r="O1138" s="8">
        <v>4</v>
      </c>
      <c r="P1138" s="2">
        <f t="shared" si="119"/>
        <v>1.822803038156964E-2</v>
      </c>
      <c r="Q1138" s="3">
        <f t="shared" si="120"/>
        <v>1.4536875031250001</v>
      </c>
      <c r="R1138" s="4">
        <f t="shared" si="125"/>
        <v>2.5000000000000001E-2</v>
      </c>
      <c r="S1138" s="3">
        <f t="shared" si="121"/>
        <v>58.147500125000001</v>
      </c>
      <c r="T1138" s="4">
        <f t="shared" si="122"/>
        <v>0.30769230769230771</v>
      </c>
      <c r="U1138" s="3">
        <f t="shared" si="123"/>
        <v>0.2649785997227061</v>
      </c>
      <c r="V1138" s="5">
        <f t="shared" si="124"/>
        <v>-0.14011780570936455</v>
      </c>
    </row>
    <row r="1139" spans="1:22" x14ac:dyDescent="0.3">
      <c r="A1139">
        <v>1314409</v>
      </c>
      <c r="B1139" s="1">
        <v>42966</v>
      </c>
      <c r="C1139" s="1">
        <v>42966</v>
      </c>
      <c r="D1139" s="6" t="s">
        <v>28</v>
      </c>
      <c r="E1139" s="6" t="s">
        <v>28</v>
      </c>
      <c r="F1139" s="7" t="s">
        <v>26</v>
      </c>
      <c r="G1139" s="7" t="s">
        <v>27</v>
      </c>
      <c r="H1139" s="7">
        <v>108</v>
      </c>
      <c r="I1139" s="7">
        <v>112</v>
      </c>
      <c r="J1139" s="7">
        <v>112</v>
      </c>
      <c r="K1139" s="7">
        <v>212508</v>
      </c>
      <c r="L1139" s="7">
        <v>33</v>
      </c>
      <c r="M1139" s="7">
        <v>47.690000060000003</v>
      </c>
      <c r="N1139" s="7">
        <v>4</v>
      </c>
      <c r="O1139" s="7">
        <v>1</v>
      </c>
      <c r="P1139" s="2">
        <f t="shared" si="119"/>
        <v>1.5528827150036704E-2</v>
      </c>
      <c r="Q1139" s="3">
        <f t="shared" si="120"/>
        <v>1.4451515169696971</v>
      </c>
      <c r="R1139" s="4">
        <f t="shared" si="125"/>
        <v>3.0303030303030304E-2</v>
      </c>
      <c r="S1139" s="3">
        <f t="shared" si="121"/>
        <v>47.690000060000003</v>
      </c>
      <c r="T1139" s="4">
        <f t="shared" si="122"/>
        <v>0.25</v>
      </c>
      <c r="U1139" s="3">
        <f t="shared" si="123"/>
        <v>0.22441508112635761</v>
      </c>
      <c r="V1139" s="5">
        <f t="shared" si="124"/>
        <v>4.8437826317754826E-2</v>
      </c>
    </row>
    <row r="1140" spans="1:22" x14ac:dyDescent="0.3">
      <c r="A1140">
        <v>1314410</v>
      </c>
      <c r="B1140" s="1">
        <v>42966</v>
      </c>
      <c r="C1140" s="1">
        <v>42966</v>
      </c>
      <c r="D1140" s="6" t="s">
        <v>28</v>
      </c>
      <c r="E1140" s="6" t="s">
        <v>28</v>
      </c>
      <c r="F1140" s="8" t="s">
        <v>26</v>
      </c>
      <c r="G1140" s="8" t="s">
        <v>27</v>
      </c>
      <c r="H1140" s="8">
        <v>109</v>
      </c>
      <c r="I1140" s="8">
        <v>111</v>
      </c>
      <c r="J1140" s="8">
        <v>114</v>
      </c>
      <c r="K1140" s="8">
        <v>1129773</v>
      </c>
      <c r="L1140" s="8">
        <v>252</v>
      </c>
      <c r="M1140" s="8">
        <v>358.18999700000001</v>
      </c>
      <c r="N1140" s="8">
        <v>13</v>
      </c>
      <c r="O1140" s="8">
        <v>2</v>
      </c>
      <c r="P1140" s="2">
        <f t="shared" si="119"/>
        <v>2.2305365768167589E-2</v>
      </c>
      <c r="Q1140" s="3">
        <f t="shared" si="120"/>
        <v>1.421388876984127</v>
      </c>
      <c r="R1140" s="4">
        <f t="shared" si="125"/>
        <v>7.9365079365079361E-3</v>
      </c>
      <c r="S1140" s="3">
        <f t="shared" si="121"/>
        <v>179.0949985</v>
      </c>
      <c r="T1140" s="4">
        <f t="shared" si="122"/>
        <v>0.15384615384615385</v>
      </c>
      <c r="U1140" s="3">
        <f t="shared" si="123"/>
        <v>0.31704598799935912</v>
      </c>
      <c r="V1140" s="5">
        <f t="shared" si="124"/>
        <v>-0.72081855764386404</v>
      </c>
    </row>
    <row r="1141" spans="1:22" x14ac:dyDescent="0.3">
      <c r="A1141">
        <v>1314411</v>
      </c>
      <c r="B1141" s="1">
        <v>42966</v>
      </c>
      <c r="C1141" s="1">
        <v>42966</v>
      </c>
      <c r="D1141" s="6" t="s">
        <v>28</v>
      </c>
      <c r="E1141" s="6" t="s">
        <v>28</v>
      </c>
      <c r="F1141" s="7" t="s">
        <v>26</v>
      </c>
      <c r="G1141" s="7" t="s">
        <v>27</v>
      </c>
      <c r="H1141" s="7">
        <v>110</v>
      </c>
      <c r="I1141" s="7">
        <v>111</v>
      </c>
      <c r="J1141" s="7">
        <v>116</v>
      </c>
      <c r="K1141" s="7">
        <v>637549</v>
      </c>
      <c r="L1141" s="7">
        <v>120</v>
      </c>
      <c r="M1141" s="7">
        <v>173.88000349999999</v>
      </c>
      <c r="N1141" s="7">
        <v>3</v>
      </c>
      <c r="O1141" s="7">
        <v>0</v>
      </c>
      <c r="P1141" s="2">
        <f t="shared" si="119"/>
        <v>1.882208269482032E-2</v>
      </c>
      <c r="Q1141" s="3">
        <f t="shared" si="120"/>
        <v>1.4490000291666665</v>
      </c>
      <c r="R1141" s="4">
        <f t="shared" si="125"/>
        <v>0</v>
      </c>
      <c r="S1141" s="3">
        <f t="shared" si="121"/>
        <v>0</v>
      </c>
      <c r="T1141" s="4">
        <f t="shared" si="122"/>
        <v>0</v>
      </c>
      <c r="U1141" s="3">
        <f t="shared" si="123"/>
        <v>0.27273198373772051</v>
      </c>
      <c r="V1141" s="5">
        <f t="shared" si="124"/>
        <v>-1</v>
      </c>
    </row>
    <row r="1142" spans="1:22" x14ac:dyDescent="0.3">
      <c r="A1142">
        <v>1314412</v>
      </c>
      <c r="B1142" s="1">
        <v>42966</v>
      </c>
      <c r="C1142" s="1">
        <v>42966</v>
      </c>
      <c r="D1142" s="6" t="s">
        <v>28</v>
      </c>
      <c r="E1142" s="6" t="s">
        <v>28</v>
      </c>
      <c r="F1142" s="8" t="s">
        <v>26</v>
      </c>
      <c r="G1142" s="8" t="s">
        <v>27</v>
      </c>
      <c r="H1142" s="8">
        <v>111</v>
      </c>
      <c r="I1142" s="8">
        <v>113</v>
      </c>
      <c r="J1142" s="8">
        <v>117</v>
      </c>
      <c r="K1142" s="8">
        <v>151531</v>
      </c>
      <c r="L1142" s="8">
        <v>28</v>
      </c>
      <c r="M1142" s="8">
        <v>40.28999949</v>
      </c>
      <c r="N1142" s="8">
        <v>2</v>
      </c>
      <c r="O1142" s="8">
        <v>0</v>
      </c>
      <c r="P1142" s="2">
        <f t="shared" si="119"/>
        <v>1.8478067194171489E-2</v>
      </c>
      <c r="Q1142" s="3">
        <f t="shared" si="120"/>
        <v>1.4389285532142857</v>
      </c>
      <c r="R1142" s="4">
        <f t="shared" si="125"/>
        <v>0</v>
      </c>
      <c r="S1142" s="3">
        <f t="shared" si="121"/>
        <v>0</v>
      </c>
      <c r="T1142" s="4">
        <f t="shared" si="122"/>
        <v>0</v>
      </c>
      <c r="U1142" s="3">
        <f t="shared" si="123"/>
        <v>0.26588618493905541</v>
      </c>
      <c r="V1142" s="5">
        <f t="shared" si="124"/>
        <v>-1</v>
      </c>
    </row>
    <row r="1143" spans="1:22" x14ac:dyDescent="0.3">
      <c r="A1143">
        <v>1314414</v>
      </c>
      <c r="B1143" s="1">
        <v>42964</v>
      </c>
      <c r="C1143" s="1">
        <v>42964</v>
      </c>
      <c r="D1143" s="6" t="s">
        <v>28</v>
      </c>
      <c r="E1143" s="6" t="s">
        <v>28</v>
      </c>
      <c r="F1143" s="7" t="s">
        <v>26</v>
      </c>
      <c r="G1143" s="7" t="s">
        <v>27</v>
      </c>
      <c r="H1143" s="7">
        <v>113</v>
      </c>
      <c r="I1143" s="7">
        <v>114</v>
      </c>
      <c r="J1143" s="7">
        <v>117</v>
      </c>
      <c r="K1143" s="7">
        <v>790253</v>
      </c>
      <c r="L1143" s="7">
        <v>135</v>
      </c>
      <c r="M1143" s="7">
        <v>198.71000050000001</v>
      </c>
      <c r="N1143" s="7">
        <v>8</v>
      </c>
      <c r="O1143" s="7">
        <v>2</v>
      </c>
      <c r="P1143" s="2">
        <f t="shared" si="119"/>
        <v>1.7083136666358748E-2</v>
      </c>
      <c r="Q1143" s="3">
        <f t="shared" si="120"/>
        <v>1.4719259296296296</v>
      </c>
      <c r="R1143" s="4">
        <f t="shared" si="125"/>
        <v>1.4814814814814815E-2</v>
      </c>
      <c r="S1143" s="3">
        <f t="shared" si="121"/>
        <v>99.355000250000003</v>
      </c>
      <c r="T1143" s="4">
        <f t="shared" si="122"/>
        <v>0.25</v>
      </c>
      <c r="U1143" s="3">
        <f t="shared" si="123"/>
        <v>0.25145111818620114</v>
      </c>
      <c r="V1143" s="5">
        <f t="shared" si="124"/>
        <v>-0.49675406497721791</v>
      </c>
    </row>
    <row r="1144" spans="1:22" x14ac:dyDescent="0.3">
      <c r="A1144">
        <v>1314415</v>
      </c>
      <c r="B1144" s="1">
        <v>42964</v>
      </c>
      <c r="C1144" s="1">
        <v>42964</v>
      </c>
      <c r="D1144" s="6" t="s">
        <v>28</v>
      </c>
      <c r="E1144" s="6" t="s">
        <v>28</v>
      </c>
      <c r="F1144" s="8" t="s">
        <v>26</v>
      </c>
      <c r="G1144" s="8" t="s">
        <v>27</v>
      </c>
      <c r="H1144" s="8">
        <v>114</v>
      </c>
      <c r="I1144" s="8">
        <v>116</v>
      </c>
      <c r="J1144" s="8">
        <v>118</v>
      </c>
      <c r="K1144" s="8">
        <v>513161</v>
      </c>
      <c r="L1144" s="8">
        <v>114</v>
      </c>
      <c r="M1144" s="8">
        <v>165.60999870000001</v>
      </c>
      <c r="N1144" s="8">
        <v>5</v>
      </c>
      <c r="O1144" s="8">
        <v>2</v>
      </c>
      <c r="P1144" s="2">
        <f t="shared" si="119"/>
        <v>2.221525018463991E-2</v>
      </c>
      <c r="Q1144" s="3">
        <f t="shared" si="120"/>
        <v>1.4527192868421053</v>
      </c>
      <c r="R1144" s="4">
        <f t="shared" si="125"/>
        <v>1.7543859649122806E-2</v>
      </c>
      <c r="S1144" s="3">
        <f t="shared" si="121"/>
        <v>82.804999350000003</v>
      </c>
      <c r="T1144" s="4">
        <f t="shared" si="122"/>
        <v>0.4</v>
      </c>
      <c r="U1144" s="3">
        <f t="shared" si="123"/>
        <v>0.32272522405249038</v>
      </c>
      <c r="V1144" s="5">
        <f t="shared" si="124"/>
        <v>-0.39617172402042899</v>
      </c>
    </row>
    <row r="1146" spans="1:22" x14ac:dyDescent="0.3">
      <c r="R1146" s="5"/>
      <c r="S1146" s="5"/>
      <c r="T1146" s="5"/>
      <c r="U114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Abubakr Agbolahan Salahudeen</dc:creator>
  <cp:lastModifiedBy>Abubakr Agbolahan Salahudeen</cp:lastModifiedBy>
  <dcterms:created xsi:type="dcterms:W3CDTF">2025-11-26T14:06:56Z</dcterms:created>
  <dcterms:modified xsi:type="dcterms:W3CDTF">2025-11-26T14:11:55Z</dcterms:modified>
</cp:coreProperties>
</file>